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E-Cooking" sheetId="1" state="visible" r:id="rId1"/>
    <sheet name="Electricity" sheetId="2" state="visible" r:id="rId2"/>
    <sheet name="LPG" sheetId="3" state="visible" r:id="rId3"/>
  </sheets>
  <externalReferences>
    <externalReference r:id="rId4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#,##0\ &quot;M$&quot;;\ \(#,##0\)\ &quot;M$&quot;;&quot;-&quot;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b val="1"/>
      <i val="1"/>
      <color theme="1"/>
      <sz val="12"/>
      <scheme val="minor"/>
    </font>
    <font>
      <name val="Aptos Narrow"/>
      <family val="2"/>
      <color rgb="FF00206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1" fillId="0" borderId="0"/>
    <xf numFmtId="9" fontId="1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3"/>
    </xf>
    <xf numFmtId="0" fontId="4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indent="3"/>
    </xf>
    <xf numFmtId="9" fontId="8" fillId="4" borderId="1" applyAlignment="1" applyProtection="1" pivotButton="0" quotePrefix="0" xfId="1">
      <alignment horizontal="center" vertical="center"/>
      <protection locked="0" hidden="0"/>
    </xf>
    <xf numFmtId="9" fontId="5" fillId="0" borderId="0" applyAlignment="1" pivotButton="0" quotePrefix="0" xfId="1">
      <alignment vertical="center"/>
    </xf>
    <xf numFmtId="3" fontId="8" fillId="4" borderId="1" applyAlignment="1" applyProtection="1" pivotButton="0" quotePrefix="0" xfId="0">
      <alignment horizontal="center" vertical="center"/>
      <protection locked="0" hidden="0"/>
    </xf>
    <xf numFmtId="1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3"/>
    </xf>
    <xf numFmtId="0" fontId="3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8" fillId="4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164" fontId="8" fillId="0" borderId="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8954da175e61d5af/Escritorio/IIT/NICCP_Santos/Solved_NICCP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U23"/>
  <sheetViews>
    <sheetView zoomScale="78" zoomScaleNormal="100" workbookViewId="0">
      <selection activeCell="E13" sqref="E13"/>
    </sheetView>
  </sheetViews>
  <sheetFormatPr baseColWidth="10" defaultRowHeight="14.5"/>
  <cols>
    <col width="41.0898437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  <c r="T1" s="14" t="n"/>
      <c r="U1" s="14" t="n"/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T2" s="14" t="n"/>
      <c r="U2" s="14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T3" s="14" t="n"/>
      <c r="U3" s="14" t="n"/>
    </row>
    <row r="4" ht="16" customHeight="1">
      <c r="A4" s="2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T4" s="14" t="n"/>
      <c r="U4" s="14" t="n"/>
    </row>
    <row r="5" ht="15" customHeight="1" thickBot="1">
      <c r="A5" s="2" t="inlineStr">
        <is>
          <t xml:space="preserve">Total </t>
        </is>
      </c>
      <c r="B5" s="2" t="inlineStr">
        <is>
          <t>Amount Total</t>
        </is>
      </c>
      <c r="C5" s="1" t="inlineStr">
        <is>
          <t>Division</t>
        </is>
      </c>
      <c r="D5" s="1" t="inlineStr">
        <is>
          <t>Units</t>
        </is>
      </c>
      <c r="E5" s="1" t="inlineStr">
        <is>
          <t>Amount Division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T5" s="14" t="n"/>
      <c r="U5" s="14" t="n"/>
    </row>
    <row r="6" ht="16.5" customHeight="1" thickBot="1">
      <c r="A6" s="4" t="inlineStr">
        <is>
          <t>Total:</t>
        </is>
      </c>
      <c r="B6" s="15" t="n">
        <v>0</v>
      </c>
      <c r="C6" s="5" t="inlineStr">
        <is>
          <t>1.- Equity (to be injected in year 0)</t>
        </is>
      </c>
      <c r="D6" s="3" t="inlineStr">
        <is>
          <t>%</t>
        </is>
      </c>
      <c r="E6" s="6" t="n">
        <v>0</v>
      </c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O6" s="1" t="n"/>
      <c r="P6" s="1" t="n"/>
      <c r="Q6" s="1" t="n"/>
      <c r="T6" s="14" t="n"/>
      <c r="U6" s="14" t="n"/>
    </row>
    <row r="7" ht="16.5" customHeight="1" thickBot="1">
      <c r="A7" s="4" t="inlineStr">
        <is>
          <t>Total:</t>
        </is>
      </c>
      <c r="B7" s="15" t="n">
        <v>0</v>
      </c>
      <c r="C7" s="5" t="inlineStr">
        <is>
          <t>2.- Grants (inyected in the first two years but linked to CAPEX deployment)</t>
        </is>
      </c>
      <c r="D7" s="3" t="inlineStr">
        <is>
          <t>%</t>
        </is>
      </c>
      <c r="E7" s="6" t="n">
        <v>0</v>
      </c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O7" s="1" t="n"/>
      <c r="P7" s="1" t="n"/>
      <c r="Q7" s="1" t="n"/>
      <c r="T7" s="14" t="n"/>
      <c r="U7" s="14" t="n"/>
    </row>
    <row r="8" ht="16.5" customHeight="1" thickBot="1">
      <c r="A8" s="4" t="inlineStr">
        <is>
          <t>Total:</t>
        </is>
      </c>
      <c r="B8" s="15" t="n">
        <v>0</v>
      </c>
      <c r="C8" s="5" t="inlineStr">
        <is>
          <t>3.- Debt</t>
        </is>
      </c>
      <c r="D8" s="3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T8" s="14" t="n"/>
      <c r="U8" s="14" t="n"/>
    </row>
    <row r="9" ht="16.5" customHeight="1" thickBot="1">
      <c r="A9" s="1" t="n"/>
      <c r="B9" s="1" t="n"/>
      <c r="C9" s="2" t="inlineStr">
        <is>
          <t>Interests</t>
        </is>
      </c>
      <c r="D9" s="3" t="inlineStr">
        <is>
          <t>%</t>
        </is>
      </c>
      <c r="E9" s="6" t="n">
        <v>0</v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T9" s="14" t="n"/>
      <c r="U9" s="14" t="n"/>
    </row>
    <row r="10" ht="16.5" customHeight="1" thickBot="1">
      <c r="A10" s="1" t="n"/>
      <c r="B10" s="1" t="n"/>
      <c r="C10" s="2" t="inlineStr">
        <is>
          <t>Grace period</t>
        </is>
      </c>
      <c r="D10" s="3" t="inlineStr">
        <is>
          <t>years</t>
        </is>
      </c>
      <c r="E10" s="8" t="n">
        <v>0</v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T10" s="14" t="n"/>
      <c r="U10" s="14" t="n"/>
    </row>
    <row r="11" ht="16.5" customHeight="1" thickBot="1">
      <c r="A11" s="1" t="n"/>
      <c r="B11" s="1" t="n"/>
      <c r="C11" s="2" t="inlineStr">
        <is>
          <t>Amortization period</t>
        </is>
      </c>
      <c r="D11" s="3" t="inlineStr">
        <is>
          <t>years</t>
        </is>
      </c>
      <c r="E11" s="8" t="n">
        <v>0</v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6" customHeight="1">
      <c r="A12" s="1" t="n"/>
      <c r="B12" s="1" t="n"/>
      <c r="C12" s="2" t="n"/>
      <c r="D12" s="3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2" t="n"/>
      <c r="B13" s="1" t="n"/>
      <c r="C13" s="2" t="inlineStr">
        <is>
          <t>Type</t>
        </is>
      </c>
      <c r="D13" s="1" t="inlineStr">
        <is>
          <t>Units</t>
        </is>
      </c>
      <c r="E13" s="9" t="inlineStr">
        <is>
          <t>Baseline</t>
        </is>
      </c>
      <c r="F13" s="9" t="n">
        <v>2023</v>
      </c>
      <c r="G13" s="9" t="n">
        <v>2024</v>
      </c>
      <c r="H13" s="9" t="n">
        <v>2025</v>
      </c>
      <c r="I13" s="9" t="n">
        <v>2026</v>
      </c>
      <c r="J13" s="9" t="n">
        <v>2027</v>
      </c>
      <c r="K13" s="9" t="n">
        <v>2028</v>
      </c>
      <c r="L13" s="9" t="n">
        <v>2029</v>
      </c>
      <c r="M13" s="9" t="n">
        <v>2030</v>
      </c>
      <c r="N13" s="9" t="n">
        <v>2031</v>
      </c>
      <c r="O13" s="9" t="n">
        <v>2032</v>
      </c>
      <c r="P13" s="9" t="n">
        <v>2033</v>
      </c>
      <c r="Q13" s="9" t="n">
        <v>2034</v>
      </c>
    </row>
    <row r="14" ht="16.5" customHeight="1" thickBot="1">
      <c r="A14" s="2" t="n"/>
      <c r="B14" s="1" t="n"/>
      <c r="C14" s="10" t="inlineStr">
        <is>
          <t>Annual debt needs</t>
        </is>
      </c>
      <c r="D14" s="1" t="n"/>
      <c r="E14" s="11">
        <f>IF('[1]CleanStep - JUSTACCESS - FFSS'!F22&gt;0,"ok","increase debt")</f>
        <v/>
      </c>
      <c r="F14" s="11">
        <f>IF('[1]CleanStep - JUSTACCESS - FFSS'!F22&gt;0,"ok","increase debt")</f>
        <v/>
      </c>
      <c r="G14" s="11">
        <f>IF('[1]CleanStep - JUSTACCESS - FFSS'!G22&gt;0,"ok","increase debt")</f>
        <v/>
      </c>
      <c r="H14" s="11">
        <f>IF('[1]CleanStep - JUSTACCESS - FFSS'!H22&gt;0,"ok","increase debt")</f>
        <v/>
      </c>
      <c r="I14" s="11">
        <f>IF('[1]CleanStep - JUSTACCESS - FFSS'!I22&gt;0,"ok","increase debt")</f>
        <v/>
      </c>
      <c r="J14" s="11">
        <f>IF('[1]CleanStep - JUSTACCESS - FFSS'!J22&gt;0,"ok","increase debt")</f>
        <v/>
      </c>
      <c r="K14" s="11">
        <f>IF('[1]CleanStep - JUSTACCESS - FFSS'!K22&gt;0,"ok","increase debt")</f>
        <v/>
      </c>
      <c r="L14" s="11">
        <f>IF('[1]CleanStep - JUSTACCESS - FFSS'!L22&gt;0,"ok","increase debt")</f>
        <v/>
      </c>
      <c r="M14" s="11">
        <f>IF('[1]CleanStep - JUSTACCESS - FFSS'!M22&gt;0,"ok","increase debt")</f>
        <v/>
      </c>
      <c r="N14" s="11">
        <f>IF('[1]CleanStep - JUSTACCESS - FFSS'!N22&gt;0,"ok","increase debt")</f>
        <v/>
      </c>
      <c r="O14" s="11">
        <f>IF('[1]CleanStep - JUSTACCESS - FFSS'!O22&gt;0,"ok","increase debt")</f>
        <v/>
      </c>
      <c r="P14" s="11">
        <f>IF('[1]CleanStep - JUSTACCESS - FFSS'!P22&gt;0,"ok","increase debt")</f>
        <v/>
      </c>
      <c r="Q14" s="11">
        <f>IF('[1]CleanStep - JUSTACCESS - FFSS'!Q22&gt;0,"ok","increase debt")</f>
        <v/>
      </c>
    </row>
    <row r="15" ht="17" customHeight="1" thickBot="1" thickTop="1">
      <c r="A15" s="2" t="n"/>
      <c r="B15" s="1" t="n"/>
      <c r="C15" s="12" t="inlineStr">
        <is>
          <t>How much to increase</t>
        </is>
      </c>
      <c r="D15" s="3" t="inlineStr">
        <is>
          <t>M$</t>
        </is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T15" s="14" t="n"/>
      <c r="U15" s="14" t="n"/>
    </row>
    <row r="16" ht="16.5" customHeight="1" thickBot="1">
      <c r="A16" s="2" t="n"/>
      <c r="B16" s="1" t="n"/>
      <c r="C16" s="10" t="inlineStr">
        <is>
          <t>Debt increase</t>
        </is>
      </c>
      <c r="D16" s="3" t="inlineStr">
        <is>
          <t>M$</t>
        </is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T16" s="14" t="n"/>
      <c r="U16" s="14" t="n"/>
    </row>
    <row r="17">
      <c r="T17" s="14" t="n"/>
      <c r="U17" s="14" t="n"/>
    </row>
    <row r="18">
      <c r="T18" s="14" t="n"/>
      <c r="U18" s="14" t="n"/>
    </row>
    <row r="19">
      <c r="T19" s="14" t="n"/>
      <c r="U19" s="14" t="n"/>
    </row>
    <row r="20">
      <c r="T20" s="14" t="n"/>
      <c r="U20" s="14" t="n"/>
    </row>
    <row r="21">
      <c r="T21" s="14" t="n"/>
      <c r="U21" s="14" t="n"/>
    </row>
    <row r="22">
      <c r="T22" s="14" t="n"/>
      <c r="U22" s="14" t="n"/>
    </row>
    <row r="23">
      <c r="T23" s="14" t="n"/>
      <c r="U23" s="14" t="n"/>
    </row>
  </sheetData>
  <conditionalFormatting sqref="C14:AJ14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Q16"/>
  <sheetViews>
    <sheetView tabSelected="1" zoomScale="82" workbookViewId="0">
      <selection activeCell="D13" sqref="D13"/>
    </sheetView>
  </sheetViews>
  <sheetFormatPr baseColWidth="10" defaultRowHeight="14.5"/>
  <cols>
    <col width="30.6328125" customWidth="1" min="1" max="1"/>
    <col width="71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6" customHeight="1">
      <c r="A4" s="2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thickBot="1">
      <c r="A5" s="2" t="inlineStr">
        <is>
          <t xml:space="preserve">Total </t>
        </is>
      </c>
      <c r="B5" s="2" t="inlineStr">
        <is>
          <t>Amount Total</t>
        </is>
      </c>
      <c r="C5" s="1" t="inlineStr">
        <is>
          <t>Division</t>
        </is>
      </c>
      <c r="D5" s="1" t="inlineStr">
        <is>
          <t>Units</t>
        </is>
      </c>
      <c r="E5" s="1" t="inlineStr">
        <is>
          <t>Amount Division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6.5" customHeight="1" thickBot="1">
      <c r="A6" s="4" t="inlineStr">
        <is>
          <t>Total:</t>
        </is>
      </c>
      <c r="B6" s="15" t="n">
        <v>0</v>
      </c>
      <c r="C6" s="5" t="inlineStr">
        <is>
          <t>1.- Equity (to be injected in year 0)</t>
        </is>
      </c>
      <c r="D6" s="3" t="inlineStr">
        <is>
          <t>%</t>
        </is>
      </c>
      <c r="E6" s="6" t="n">
        <v>0</v>
      </c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O6" s="1" t="n"/>
      <c r="P6" s="1" t="n"/>
      <c r="Q6" s="1" t="n"/>
    </row>
    <row r="7" ht="16.5" customHeight="1" thickBot="1">
      <c r="A7" s="4" t="inlineStr">
        <is>
          <t>Total:</t>
        </is>
      </c>
      <c r="B7" s="15" t="n">
        <v>0</v>
      </c>
      <c r="C7" s="5" t="inlineStr">
        <is>
          <t>2.- Grants (inyected in the first two years but linked to CAPEX deployment)</t>
        </is>
      </c>
      <c r="D7" s="3" t="inlineStr">
        <is>
          <t>%</t>
        </is>
      </c>
      <c r="E7" s="6" t="n">
        <v>0</v>
      </c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O7" s="1" t="n"/>
      <c r="P7" s="1" t="n"/>
      <c r="Q7" s="1" t="n"/>
    </row>
    <row r="8" ht="16.5" customHeight="1" thickBot="1">
      <c r="A8" s="4" t="inlineStr">
        <is>
          <t>Total:</t>
        </is>
      </c>
      <c r="B8" s="15" t="n">
        <v>0</v>
      </c>
      <c r="C8" s="5" t="inlineStr">
        <is>
          <t>3.- Debt</t>
        </is>
      </c>
      <c r="D8" s="3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6.5" customHeight="1" thickBot="1">
      <c r="A9" s="1" t="n"/>
      <c r="B9" s="1" t="n"/>
      <c r="C9" s="2" t="inlineStr">
        <is>
          <t>Interests</t>
        </is>
      </c>
      <c r="D9" s="3" t="inlineStr">
        <is>
          <t>%</t>
        </is>
      </c>
      <c r="E9" s="6" t="n">
        <v>0</v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6.5" customHeight="1" thickBot="1">
      <c r="A10" s="1" t="n"/>
      <c r="B10" s="1" t="n"/>
      <c r="C10" s="2" t="inlineStr">
        <is>
          <t>Grace period</t>
        </is>
      </c>
      <c r="D10" s="3" t="inlineStr">
        <is>
          <t>years</t>
        </is>
      </c>
      <c r="E10" s="8" t="n">
        <v>0</v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6.5" customHeight="1" thickBot="1">
      <c r="A11" s="1" t="n"/>
      <c r="B11" s="1" t="n"/>
      <c r="C11" s="2" t="inlineStr">
        <is>
          <t>Amortization period</t>
        </is>
      </c>
      <c r="D11" s="3" t="inlineStr">
        <is>
          <t>years</t>
        </is>
      </c>
      <c r="E11" s="8" t="n">
        <v>0</v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6" customHeight="1">
      <c r="A12" s="1" t="n"/>
      <c r="B12" s="1" t="n"/>
      <c r="C12" s="2" t="n"/>
      <c r="D12" s="3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2" t="n"/>
      <c r="B13" s="1" t="n"/>
      <c r="C13" s="2" t="inlineStr">
        <is>
          <t>Type</t>
        </is>
      </c>
      <c r="D13" s="1" t="inlineStr">
        <is>
          <t>Units</t>
        </is>
      </c>
      <c r="E13" s="9" t="inlineStr">
        <is>
          <t>Baseline</t>
        </is>
      </c>
      <c r="F13" s="9" t="n">
        <v>2023</v>
      </c>
      <c r="G13" s="9" t="n">
        <v>2024</v>
      </c>
      <c r="H13" s="9" t="n">
        <v>2025</v>
      </c>
      <c r="I13" s="9" t="n">
        <v>2026</v>
      </c>
      <c r="J13" s="9" t="n">
        <v>2027</v>
      </c>
      <c r="K13" s="9" t="n">
        <v>2028</v>
      </c>
      <c r="L13" s="9" t="n">
        <v>2029</v>
      </c>
      <c r="M13" s="9" t="n">
        <v>2030</v>
      </c>
      <c r="N13" s="9" t="n">
        <v>2031</v>
      </c>
      <c r="O13" s="9" t="n">
        <v>2032</v>
      </c>
      <c r="P13" s="9" t="n">
        <v>2033</v>
      </c>
      <c r="Q13" s="9" t="n">
        <v>2034</v>
      </c>
    </row>
    <row r="14" ht="16.5" customHeight="1" thickBot="1">
      <c r="A14" s="2" t="n"/>
      <c r="B14" s="1" t="n"/>
      <c r="C14" s="10" t="inlineStr">
        <is>
          <t>Annual debt needs</t>
        </is>
      </c>
      <c r="D14" s="1" t="n"/>
      <c r="E14" s="11">
        <f>IF('[1]CleanStep - JUSTACCESS - FFSS'!F22&gt;0,"ok","increase debt")</f>
        <v/>
      </c>
      <c r="F14" s="11">
        <f>IF('[1]CleanStep - JUSTACCESS - FFSS'!F22&gt;0,"ok","increase debt")</f>
        <v/>
      </c>
      <c r="G14" s="11">
        <f>IF('[1]CleanStep - JUSTACCESS - FFSS'!G22&gt;0,"ok","increase debt")</f>
        <v/>
      </c>
      <c r="H14" s="11">
        <f>IF('[1]CleanStep - JUSTACCESS - FFSS'!H22&gt;0,"ok","increase debt")</f>
        <v/>
      </c>
      <c r="I14" s="11">
        <f>IF('[1]CleanStep - JUSTACCESS - FFSS'!I22&gt;0,"ok","increase debt")</f>
        <v/>
      </c>
      <c r="J14" s="11">
        <f>IF('[1]CleanStep - JUSTACCESS - FFSS'!J22&gt;0,"ok","increase debt")</f>
        <v/>
      </c>
      <c r="K14" s="11">
        <f>IF('[1]CleanStep - JUSTACCESS - FFSS'!K22&gt;0,"ok","increase debt")</f>
        <v/>
      </c>
      <c r="L14" s="11">
        <f>IF('[1]CleanStep - JUSTACCESS - FFSS'!L22&gt;0,"ok","increase debt")</f>
        <v/>
      </c>
      <c r="M14" s="11">
        <f>IF('[1]CleanStep - JUSTACCESS - FFSS'!M22&gt;0,"ok","increase debt")</f>
        <v/>
      </c>
      <c r="N14" s="11">
        <f>IF('[1]CleanStep - JUSTACCESS - FFSS'!N22&gt;0,"ok","increase debt")</f>
        <v/>
      </c>
      <c r="O14" s="11">
        <f>IF('[1]CleanStep - JUSTACCESS - FFSS'!O22&gt;0,"ok","increase debt")</f>
        <v/>
      </c>
      <c r="P14" s="11">
        <f>IF('[1]CleanStep - JUSTACCESS - FFSS'!P22&gt;0,"ok","increase debt")</f>
        <v/>
      </c>
      <c r="Q14" s="11">
        <f>IF('[1]CleanStep - JUSTACCESS - FFSS'!Q22&gt;0,"ok","increase debt")</f>
        <v/>
      </c>
    </row>
    <row r="15" ht="17" customHeight="1" thickBot="1" thickTop="1">
      <c r="A15" s="2" t="n"/>
      <c r="B15" s="1" t="n"/>
      <c r="C15" s="12" t="inlineStr">
        <is>
          <t>How much to increase</t>
        </is>
      </c>
      <c r="D15" s="3" t="inlineStr">
        <is>
          <t>M$</t>
        </is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</row>
    <row r="16" ht="16.5" customHeight="1" thickBot="1">
      <c r="A16" s="2" t="n"/>
      <c r="B16" s="1" t="n"/>
      <c r="C16" s="10" t="inlineStr">
        <is>
          <t>Debt increase</t>
        </is>
      </c>
      <c r="D16" s="3" t="inlineStr">
        <is>
          <t>M$</t>
        </is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</row>
  </sheetData>
  <conditionalFormatting sqref="C14:AJ14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Q16"/>
  <sheetViews>
    <sheetView zoomScale="83" workbookViewId="0">
      <selection activeCell="D13" sqref="D13"/>
    </sheetView>
  </sheetViews>
  <sheetFormatPr baseColWidth="10" defaultRowHeight="14.5"/>
  <cols>
    <col width="39.36328125" customWidth="1" min="1" max="1"/>
    <col width="24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6" customHeight="1">
      <c r="A4" s="2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thickBot="1">
      <c r="A5" s="2" t="inlineStr">
        <is>
          <t xml:space="preserve">Total </t>
        </is>
      </c>
      <c r="B5" s="2" t="inlineStr">
        <is>
          <t>Amount Total</t>
        </is>
      </c>
      <c r="C5" s="1" t="inlineStr">
        <is>
          <t>Division</t>
        </is>
      </c>
      <c r="D5" s="1" t="inlineStr">
        <is>
          <t>Units</t>
        </is>
      </c>
      <c r="E5" s="1" t="inlineStr">
        <is>
          <t>Amount Division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6.5" customHeight="1" thickBot="1">
      <c r="A6" s="4" t="inlineStr">
        <is>
          <t>Total:</t>
        </is>
      </c>
      <c r="B6" s="15" t="n">
        <v>0</v>
      </c>
      <c r="C6" s="5" t="inlineStr">
        <is>
          <t>1.- Equity (to be injected in year 0)</t>
        </is>
      </c>
      <c r="D6" s="3" t="inlineStr">
        <is>
          <t>%</t>
        </is>
      </c>
      <c r="E6" s="6" t="n">
        <v>0</v>
      </c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O6" s="1" t="n"/>
      <c r="P6" s="1" t="n"/>
      <c r="Q6" s="1" t="n"/>
    </row>
    <row r="7" ht="16.5" customHeight="1" thickBot="1">
      <c r="A7" s="4" t="inlineStr">
        <is>
          <t>Total:</t>
        </is>
      </c>
      <c r="B7" s="15" t="n">
        <v>0</v>
      </c>
      <c r="C7" s="5" t="inlineStr">
        <is>
          <t>2.- Grants (inyected in the first two years but linked to CAPEX deployment)</t>
        </is>
      </c>
      <c r="D7" s="3" t="inlineStr">
        <is>
          <t>%</t>
        </is>
      </c>
      <c r="E7" s="6" t="n">
        <v>0</v>
      </c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O7" s="1" t="n"/>
      <c r="P7" s="1" t="n"/>
      <c r="Q7" s="1" t="n"/>
    </row>
    <row r="8" ht="16.5" customHeight="1" thickBot="1">
      <c r="A8" s="4" t="inlineStr">
        <is>
          <t>Total:</t>
        </is>
      </c>
      <c r="B8" s="15" t="n">
        <v>0</v>
      </c>
      <c r="C8" s="5" t="inlineStr">
        <is>
          <t>3.- Debt</t>
        </is>
      </c>
      <c r="D8" s="3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6.5" customHeight="1" thickBot="1">
      <c r="A9" s="1" t="n"/>
      <c r="B9" s="1" t="n"/>
      <c r="C9" s="2" t="inlineStr">
        <is>
          <t>Interests</t>
        </is>
      </c>
      <c r="D9" s="3" t="inlineStr">
        <is>
          <t>%</t>
        </is>
      </c>
      <c r="E9" s="6" t="n">
        <v>0</v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6.5" customHeight="1" thickBot="1">
      <c r="A10" s="1" t="n"/>
      <c r="B10" s="1" t="n"/>
      <c r="C10" s="2" t="inlineStr">
        <is>
          <t>Grace period</t>
        </is>
      </c>
      <c r="D10" s="3" t="inlineStr">
        <is>
          <t>years</t>
        </is>
      </c>
      <c r="E10" s="8" t="n">
        <v>0</v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6.5" customHeight="1" thickBot="1">
      <c r="A11" s="1" t="n"/>
      <c r="B11" s="1" t="n"/>
      <c r="C11" s="2" t="inlineStr">
        <is>
          <t>Amortization period</t>
        </is>
      </c>
      <c r="D11" s="3" t="inlineStr">
        <is>
          <t>years</t>
        </is>
      </c>
      <c r="E11" s="8" t="n">
        <v>0</v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6" customHeight="1">
      <c r="A12" s="1" t="n"/>
      <c r="B12" s="1" t="n"/>
      <c r="C12" s="2" t="n"/>
      <c r="D12" s="3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2" t="n"/>
      <c r="B13" s="1" t="n"/>
      <c r="C13" s="2" t="inlineStr">
        <is>
          <t>Type</t>
        </is>
      </c>
      <c r="D13" s="1" t="inlineStr">
        <is>
          <t>Units</t>
        </is>
      </c>
      <c r="E13" s="9" t="inlineStr">
        <is>
          <t>Baseline</t>
        </is>
      </c>
      <c r="F13" s="9" t="n">
        <v>2023</v>
      </c>
      <c r="G13" s="9" t="n">
        <v>2024</v>
      </c>
      <c r="H13" s="9" t="n">
        <v>2025</v>
      </c>
      <c r="I13" s="9" t="n">
        <v>2026</v>
      </c>
      <c r="J13" s="9" t="n">
        <v>2027</v>
      </c>
      <c r="K13" s="9" t="n">
        <v>2028</v>
      </c>
      <c r="L13" s="9" t="n">
        <v>2029</v>
      </c>
      <c r="M13" s="9" t="n">
        <v>2030</v>
      </c>
      <c r="N13" s="9" t="n">
        <v>2031</v>
      </c>
      <c r="O13" s="9" t="n">
        <v>2032</v>
      </c>
      <c r="P13" s="9" t="n">
        <v>2033</v>
      </c>
      <c r="Q13" s="9" t="n">
        <v>2034</v>
      </c>
    </row>
    <row r="14" ht="16.5" customHeight="1" thickBot="1">
      <c r="A14" s="2" t="n"/>
      <c r="B14" s="1" t="n"/>
      <c r="C14" s="10" t="inlineStr">
        <is>
          <t>Annual debt needs</t>
        </is>
      </c>
      <c r="D14" s="1" t="n"/>
      <c r="E14" s="11">
        <f>IF('[1]CleanStep - JUSTACCESS - FFSS'!F22&gt;0,"ok","increase debt")</f>
        <v/>
      </c>
      <c r="F14" s="11">
        <f>IF('[1]CleanStep - JUSTACCESS - FFSS'!F22&gt;0,"ok","increase debt")</f>
        <v/>
      </c>
      <c r="G14" s="11">
        <f>IF('[1]CleanStep - JUSTACCESS - FFSS'!G22&gt;0,"ok","increase debt")</f>
        <v/>
      </c>
      <c r="H14" s="11">
        <f>IF('[1]CleanStep - JUSTACCESS - FFSS'!H22&gt;0,"ok","increase debt")</f>
        <v/>
      </c>
      <c r="I14" s="11">
        <f>IF('[1]CleanStep - JUSTACCESS - FFSS'!I22&gt;0,"ok","increase debt")</f>
        <v/>
      </c>
      <c r="J14" s="11">
        <f>IF('[1]CleanStep - JUSTACCESS - FFSS'!J22&gt;0,"ok","increase debt")</f>
        <v/>
      </c>
      <c r="K14" s="11">
        <f>IF('[1]CleanStep - JUSTACCESS - FFSS'!K22&gt;0,"ok","increase debt")</f>
        <v/>
      </c>
      <c r="L14" s="11">
        <f>IF('[1]CleanStep - JUSTACCESS - FFSS'!L22&gt;0,"ok","increase debt")</f>
        <v/>
      </c>
      <c r="M14" s="11">
        <f>IF('[1]CleanStep - JUSTACCESS - FFSS'!M22&gt;0,"ok","increase debt")</f>
        <v/>
      </c>
      <c r="N14" s="11">
        <f>IF('[1]CleanStep - JUSTACCESS - FFSS'!N22&gt;0,"ok","increase debt")</f>
        <v/>
      </c>
      <c r="O14" s="11">
        <f>IF('[1]CleanStep - JUSTACCESS - FFSS'!O22&gt;0,"ok","increase debt")</f>
        <v/>
      </c>
      <c r="P14" s="11">
        <f>IF('[1]CleanStep - JUSTACCESS - FFSS'!P22&gt;0,"ok","increase debt")</f>
        <v/>
      </c>
      <c r="Q14" s="11">
        <f>IF('[1]CleanStep - JUSTACCESS - FFSS'!Q22&gt;0,"ok","increase debt")</f>
        <v/>
      </c>
    </row>
    <row r="15" ht="17" customHeight="1" thickBot="1" thickTop="1">
      <c r="A15" s="2" t="n"/>
      <c r="B15" s="1" t="n"/>
      <c r="C15" s="12" t="inlineStr">
        <is>
          <t>How much to increase</t>
        </is>
      </c>
      <c r="D15" s="3" t="inlineStr">
        <is>
          <t>M$</t>
        </is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</row>
    <row r="16" ht="16.5" customHeight="1" thickBot="1">
      <c r="A16" s="2" t="n"/>
      <c r="B16" s="1" t="n"/>
      <c r="C16" s="10" t="inlineStr">
        <is>
          <t>Debt increase</t>
        </is>
      </c>
      <c r="D16" s="3" t="inlineStr">
        <is>
          <t>M$</t>
        </is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</row>
  </sheetData>
  <conditionalFormatting sqref="C14:AJ14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2025-06-28T14:19:42Z</dcterms:modified>
  <cp:lastModifiedBy>Almudena Garrido</cp:lastModifiedBy>
</cp:coreProperties>
</file>