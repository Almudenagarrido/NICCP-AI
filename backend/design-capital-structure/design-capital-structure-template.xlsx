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NICCP-AI/backend/design-capital-structure/"/>
    </mc:Choice>
  </mc:AlternateContent>
  <xr:revisionPtr revIDLastSave="249" documentId="8_{E5295D48-A9F0-4D2F-8DCF-7C23BD8E24E9}" xr6:coauthVersionLast="47" xr6:coauthVersionMax="47" xr10:uidLastSave="{080BD826-EE86-4273-BF9A-A1403C8DD670}"/>
  <bookViews>
    <workbookView xWindow="-110" yWindow="-110" windowWidth="19420" windowHeight="11500" activeTab="1" xr2:uid="{BBCF56CD-8AD5-4002-91F7-ED7A4CE8CFDA}"/>
  </bookViews>
  <sheets>
    <sheet name="E-Cooking" sheetId="1" r:id="rId1"/>
    <sheet name="Electricity" sheetId="2" r:id="rId2"/>
    <sheet name="LPG" sheetId="3" r:id="rId3"/>
  </sheets>
  <externalReferences>
    <externalReference r:id="rId4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4" i="3" l="1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</calcChain>
</file>

<file path=xl/sharedStrings.xml><?xml version="1.0" encoding="utf-8"?>
<sst xmlns="http://schemas.openxmlformats.org/spreadsheetml/2006/main" count="102" uniqueCount="24">
  <si>
    <t>Total:</t>
  </si>
  <si>
    <t>%</t>
  </si>
  <si>
    <t>3.- Debt</t>
  </si>
  <si>
    <t>Interests</t>
  </si>
  <si>
    <t>Grace period</t>
  </si>
  <si>
    <t>years</t>
  </si>
  <si>
    <t>Amortization period</t>
  </si>
  <si>
    <t>Baseline</t>
  </si>
  <si>
    <t>Annual debt needs</t>
  </si>
  <si>
    <t>Debt increase</t>
  </si>
  <si>
    <t>M$</t>
  </si>
  <si>
    <t>How much to be finance (till 2034)</t>
  </si>
  <si>
    <t>How much to be finance (till 2030 - SDG 7 targets)</t>
  </si>
  <si>
    <t>1.- Equity (to be injected in year 0)</t>
  </si>
  <si>
    <t>2.- Grants (inyected in the first two years but linked to CAPEX deployment)</t>
  </si>
  <si>
    <t>Financiation</t>
  </si>
  <si>
    <t>Amount</t>
  </si>
  <si>
    <t xml:space="preserve">Total </t>
  </si>
  <si>
    <t>Division</t>
  </si>
  <si>
    <t>Amount Total</t>
  </si>
  <si>
    <t>Amount Division</t>
  </si>
  <si>
    <t>How much to increase</t>
  </si>
  <si>
    <t>Type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</si>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</sst>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M$&quot;;\ \(#,##0\)\ &quot;M$&quot;;&quot;-&quot;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rgb="FF00206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3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 indent="3"/>
    </xf>
    <xf numFmtId="9" fontId="8" fillId="4" borderId="1" xfId="1" applyFont="1" applyFill="1" applyBorder="1" applyAlignment="1" applyProtection="1">
      <alignment horizontal="center" vertical="center"/>
      <protection locked="0"/>
    </xf>
    <xf numFmtId="9" fontId="5" fillId="0" borderId="0" xfId="1" applyFont="1" applyAlignment="1">
      <alignment vertical="center"/>
    </xf>
    <xf numFmtId="3" fontId="8" fillId="4" borderId="1" xfId="0" applyNumberFormat="1" applyFont="1" applyFill="1" applyBorder="1" applyAlignment="1" applyProtection="1">
      <alignment horizontal="center" vertical="center"/>
      <protection locked="0"/>
    </xf>
    <xf numFmtId="1" fontId="2" fillId="5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 indent="3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indent="3"/>
    </xf>
    <xf numFmtId="164" fontId="8" fillId="4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/>
    <xf numFmtId="0" fontId="10" fillId="2" borderId="0" xfId="0" applyFont="1" applyFill="1" applyAlignment="1">
      <alignment vertical="center"/>
    </xf>
    <xf numFmtId="164" fontId="8" fillId="0" borderId="1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954da175e61d5af/Escritorio/IIT/NICCP_Santos/Solved_NICCP.xlsm" TargetMode="External"/><Relationship Id="rId1" Type="http://schemas.openxmlformats.org/officeDocument/2006/relationships/externalLinkPath" Target="/8954da175e61d5af/Escritorio/IIT/NICCP_Santos/Solved_NICC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Execution"/>
      <sheetName val="&gt;&gt;&gt;"/>
      <sheetName val="Summary financing - Dashboard"/>
      <sheetName val="Carbon Credits"/>
      <sheetName val="Techno-economic INPUTS"/>
      <sheetName val="CleanStep Plan &gt;&gt;"/>
      <sheetName val="E-Cooking CleanStep - FFSS"/>
      <sheetName val="CleanStep - Electricity - FFSS"/>
      <sheetName val="CleanStep - JUSTACCESS - FFSS"/>
      <sheetName val="CleanStep - CAPEX - Electricity"/>
      <sheetName val="CleanStep - LPG - FFSS"/>
      <sheetName val="CleanStep - CAPEX - LPG"/>
      <sheetName val="Aligned Plan &gt;&gt;&gt;"/>
      <sheetName val="E-cooking Aligned - FFSS"/>
      <sheetName val="Aligned - Electricity - FFSS"/>
      <sheetName val="Aligned - JUSTACCESS - FFSS"/>
      <sheetName val="Aligned - CAPEX - Electricity"/>
      <sheetName val="Aligned - LPG - FFSS"/>
      <sheetName val="Aligned - CAPEX - LPG"/>
      <sheetName val="Inputs"/>
      <sheetName val="Summary Financing"/>
      <sheetName val="CS - Generation"/>
      <sheetName val="CS - Grid Extension"/>
      <sheetName val="CS - Minigrids"/>
      <sheetName val="CS -SHS"/>
      <sheetName val="Financial Statements"/>
      <sheetName val="CAPEX"/>
      <sheetName val="OPEX"/>
      <sheetName val="Currency Inflation"/>
      <sheetName val="CAPEX roll-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33E1-9C55-460E-A922-AEA15E5E66A2}">
  <sheetPr codeName="Hoja2"/>
  <dimension ref="A1:AN23"/>
  <sheetViews>
    <sheetView zoomScale="78" zoomScaleNormal="100" workbookViewId="0">
      <selection activeCell="E13" sqref="E13"/>
    </sheetView>
  </sheetViews>
  <sheetFormatPr baseColWidth="10" defaultRowHeight="14.5" x14ac:dyDescent="0.35"/>
  <cols>
    <col min="3" max="3" width="41.08984375" customWidth="1"/>
  </cols>
  <sheetData>
    <row r="1" spans="1:40" x14ac:dyDescent="0.35">
      <c r="A1" t="s">
        <v>15</v>
      </c>
      <c r="B1" t="s">
        <v>23</v>
      </c>
      <c r="C1" t="s">
        <v>16</v>
      </c>
      <c r="AM1" s="14"/>
      <c r="AN1" s="14"/>
    </row>
    <row r="2" spans="1:40" ht="16" x14ac:dyDescent="0.35">
      <c r="A2" s="2" t="s">
        <v>11</v>
      </c>
      <c r="B2" s="3" t="s">
        <v>10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AM2" s="14"/>
      <c r="AN2" s="14"/>
    </row>
    <row r="3" spans="1:40" ht="16" x14ac:dyDescent="0.35">
      <c r="A3" s="2" t="s">
        <v>12</v>
      </c>
      <c r="B3" s="3" t="s">
        <v>10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M3" s="14"/>
      <c r="AN3" s="14"/>
    </row>
    <row r="4" spans="1:40" ht="16" x14ac:dyDescent="0.35">
      <c r="A4" s="2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AM4" s="14"/>
      <c r="AN4" s="14"/>
    </row>
    <row r="5" spans="1:40" ht="15" thickBot="1" x14ac:dyDescent="0.4">
      <c r="A5" s="2" t="s">
        <v>17</v>
      </c>
      <c r="B5" s="2" t="s">
        <v>19</v>
      </c>
      <c r="C5" s="1" t="s">
        <v>18</v>
      </c>
      <c r="D5" s="1" t="s">
        <v>23</v>
      </c>
      <c r="E5" s="1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AM5" s="14"/>
      <c r="AN5" s="14"/>
    </row>
    <row r="6" spans="1:40" ht="16.5" thickBot="1" x14ac:dyDescent="0.4">
      <c r="A6" s="4" t="s">
        <v>0</v>
      </c>
      <c r="B6" s="15">
        <v>0</v>
      </c>
      <c r="C6" s="5" t="s">
        <v>13</v>
      </c>
      <c r="D6" s="3" t="s">
        <v>1</v>
      </c>
      <c r="E6" s="6">
        <v>0</v>
      </c>
      <c r="G6" s="1"/>
      <c r="H6" s="1"/>
      <c r="I6" s="1"/>
      <c r="J6" s="1"/>
      <c r="K6" s="1"/>
      <c r="L6" s="1"/>
      <c r="M6" s="1"/>
      <c r="N6" s="7"/>
      <c r="O6" s="1"/>
      <c r="P6" s="1"/>
      <c r="Q6" s="1"/>
      <c r="R6" s="1"/>
      <c r="S6" s="1"/>
      <c r="T6" s="1"/>
      <c r="U6" s="1"/>
      <c r="AM6" s="14"/>
      <c r="AN6" s="14"/>
    </row>
    <row r="7" spans="1:40" ht="16.5" thickBot="1" x14ac:dyDescent="0.4">
      <c r="A7" s="4" t="s">
        <v>0</v>
      </c>
      <c r="B7" s="15">
        <v>0</v>
      </c>
      <c r="C7" s="5" t="s">
        <v>14</v>
      </c>
      <c r="D7" s="3" t="s">
        <v>1</v>
      </c>
      <c r="E7" s="6">
        <v>0</v>
      </c>
      <c r="F7" s="1"/>
      <c r="G7" s="1"/>
      <c r="H7" s="1"/>
      <c r="I7" s="1"/>
      <c r="J7" s="1"/>
      <c r="K7" s="1"/>
      <c r="L7" s="1"/>
      <c r="M7" s="1"/>
      <c r="N7" s="7"/>
      <c r="O7" s="1"/>
      <c r="P7" s="1"/>
      <c r="Q7" s="1"/>
      <c r="R7" s="1"/>
      <c r="S7" s="1"/>
      <c r="T7" s="1"/>
      <c r="U7" s="1"/>
      <c r="AM7" s="14"/>
      <c r="AN7" s="14"/>
    </row>
    <row r="8" spans="1:40" ht="16.5" thickBot="1" x14ac:dyDescent="0.4">
      <c r="A8" s="4" t="s">
        <v>0</v>
      </c>
      <c r="B8" s="15">
        <v>0</v>
      </c>
      <c r="C8" s="5" t="s">
        <v>2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AM8" s="14"/>
      <c r="AN8" s="14"/>
    </row>
    <row r="9" spans="1:40" ht="16.5" thickBot="1" x14ac:dyDescent="0.4">
      <c r="A9" s="1"/>
      <c r="B9" s="1"/>
      <c r="C9" s="2" t="s">
        <v>3</v>
      </c>
      <c r="D9" s="3" t="s">
        <v>1</v>
      </c>
      <c r="E9" s="6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M9" s="14"/>
      <c r="AN9" s="14"/>
    </row>
    <row r="10" spans="1:40" ht="16.5" thickBot="1" x14ac:dyDescent="0.4">
      <c r="A10" s="1"/>
      <c r="B10" s="1"/>
      <c r="C10" s="2" t="s">
        <v>4</v>
      </c>
      <c r="D10" s="3" t="s">
        <v>5</v>
      </c>
      <c r="E10" s="8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M10" s="14"/>
      <c r="AN10" s="14"/>
    </row>
    <row r="11" spans="1:40" ht="16.5" thickBot="1" x14ac:dyDescent="0.4">
      <c r="A11" s="1"/>
      <c r="B11" s="1"/>
      <c r="C11" s="2" t="s">
        <v>6</v>
      </c>
      <c r="D11" s="3" t="s">
        <v>5</v>
      </c>
      <c r="E11" s="8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40" ht="16" x14ac:dyDescent="0.3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40" x14ac:dyDescent="0.35">
      <c r="A13" s="2"/>
      <c r="B13" s="1"/>
      <c r="C13" s="2" t="s">
        <v>22</v>
      </c>
      <c r="D13" s="1" t="s">
        <v>23</v>
      </c>
      <c r="E13" s="9" t="s">
        <v>7</v>
      </c>
      <c r="F13" s="9">
        <v>2020</v>
      </c>
      <c r="G13" s="9">
        <v>2021</v>
      </c>
      <c r="H13" s="9">
        <v>2022</v>
      </c>
      <c r="I13" s="9">
        <v>2023</v>
      </c>
      <c r="J13" s="9">
        <v>2024</v>
      </c>
      <c r="K13" s="9">
        <v>2025</v>
      </c>
      <c r="L13" s="9">
        <v>2026</v>
      </c>
      <c r="M13" s="9">
        <v>2027</v>
      </c>
      <c r="N13" s="9">
        <v>2028</v>
      </c>
      <c r="O13" s="9">
        <v>2029</v>
      </c>
      <c r="P13" s="9">
        <v>2030</v>
      </c>
      <c r="Q13" s="9">
        <v>2031</v>
      </c>
      <c r="R13" s="9">
        <v>2032</v>
      </c>
      <c r="S13" s="9">
        <v>2033</v>
      </c>
      <c r="T13" s="9">
        <v>2034</v>
      </c>
      <c r="U13" s="9">
        <v>2035</v>
      </c>
      <c r="V13" s="9">
        <v>2036</v>
      </c>
      <c r="W13" s="9">
        <v>2037</v>
      </c>
      <c r="X13" s="9">
        <v>2038</v>
      </c>
      <c r="Y13" s="9">
        <v>2039</v>
      </c>
      <c r="Z13" s="9">
        <v>2040</v>
      </c>
      <c r="AA13" s="9">
        <v>2041</v>
      </c>
      <c r="AB13" s="9">
        <v>2042</v>
      </c>
      <c r="AC13" s="9">
        <v>2043</v>
      </c>
      <c r="AD13" s="9">
        <v>2044</v>
      </c>
      <c r="AE13" s="9">
        <v>2045</v>
      </c>
      <c r="AF13" s="9">
        <v>2046</v>
      </c>
      <c r="AG13" s="9">
        <v>2047</v>
      </c>
      <c r="AH13" s="9">
        <v>2048</v>
      </c>
      <c r="AI13" s="9">
        <v>2049</v>
      </c>
      <c r="AJ13" s="9">
        <v>2050</v>
      </c>
    </row>
    <row r="14" spans="1:40" ht="16.5" thickBot="1" x14ac:dyDescent="0.4">
      <c r="A14" s="2"/>
      <c r="B14" s="1"/>
      <c r="C14" s="10" t="s">
        <v>8</v>
      </c>
      <c r="D14" s="1"/>
      <c r="E14" s="11" t="str">
        <f>IF('[1]CleanStep - JUSTACCESS - FFSS'!F22&gt;0,"ok","increase debt")</f>
        <v>increase debt</v>
      </c>
      <c r="F14" s="11" t="str">
        <f>IF('[1]CleanStep - JUSTACCESS - FFSS'!E22&gt;0,"ok","increase debt")</f>
        <v>increase debt</v>
      </c>
      <c r="G14" s="11" t="str">
        <f>IF('[1]CleanStep - JUSTACCESS - FFSS'!E22&gt;0,"ok","increase debt")</f>
        <v>increase debt</v>
      </c>
      <c r="H14" s="11" t="str">
        <f>IF('[1]CleanStep - JUSTACCESS - FFSS'!E22&gt;0,"ok","increase debt")</f>
        <v>increase debt</v>
      </c>
      <c r="I14" s="11" t="str">
        <f>IF('[1]CleanStep - JUSTACCESS - FFSS'!F22&gt;0,"ok","increase debt")</f>
        <v>increase debt</v>
      </c>
      <c r="J14" s="11" t="str">
        <f>IF('[1]CleanStep - JUSTACCESS - FFSS'!G22&gt;0,"ok","increase debt")</f>
        <v>increase debt</v>
      </c>
      <c r="K14" s="11" t="str">
        <f>IF('[1]CleanStep - JUSTACCESS - FFSS'!H22&gt;0,"ok","increase debt")</f>
        <v>increase debt</v>
      </c>
      <c r="L14" s="11" t="str">
        <f>IF('[1]CleanStep - JUSTACCESS - FFSS'!I22&gt;0,"ok","increase debt")</f>
        <v>increase debt</v>
      </c>
      <c r="M14" s="11" t="str">
        <f>IF('[1]CleanStep - JUSTACCESS - FFSS'!J22&gt;0,"ok","increase debt")</f>
        <v>increase debt</v>
      </c>
      <c r="N14" s="11" t="str">
        <f>IF('[1]CleanStep - JUSTACCESS - FFSS'!K22&gt;0,"ok","increase debt")</f>
        <v>increase debt</v>
      </c>
      <c r="O14" s="11" t="str">
        <f>IF('[1]CleanStep - JUSTACCESS - FFSS'!L22&gt;0,"ok","increase debt")</f>
        <v>increase debt</v>
      </c>
      <c r="P14" s="11" t="str">
        <f>IF('[1]CleanStep - JUSTACCESS - FFSS'!M22&gt;0,"ok","increase debt")</f>
        <v>increase debt</v>
      </c>
      <c r="Q14" s="11" t="str">
        <f>IF('[1]CleanStep - JUSTACCESS - FFSS'!N22&gt;0,"ok","increase debt")</f>
        <v>increase debt</v>
      </c>
      <c r="R14" s="11" t="str">
        <f>IF('[1]CleanStep - JUSTACCESS - FFSS'!O22&gt;0,"ok","increase debt")</f>
        <v>increase debt</v>
      </c>
      <c r="S14" s="11" t="str">
        <f>IF('[1]CleanStep - JUSTACCESS - FFSS'!P22&gt;0,"ok","increase debt")</f>
        <v>increase debt</v>
      </c>
      <c r="T14" s="11" t="str">
        <f>IF('[1]CleanStep - JUSTACCESS - FFSS'!Q22&gt;0,"ok","increase debt")</f>
        <v>increase debt</v>
      </c>
      <c r="U14" s="11" t="str">
        <f>IF('[1]CleanStep - JUSTACCESS - FFSS'!R22&gt;0,"ok","increase debt")</f>
        <v>increase debt</v>
      </c>
      <c r="V14" s="11" t="str">
        <f>IF('[1]CleanStep - JUSTACCESS - FFSS'!S22&gt;0,"ok","increase debt")</f>
        <v>increase debt</v>
      </c>
      <c r="W14" s="11" t="str">
        <f>IF('[1]CleanStep - JUSTACCESS - FFSS'!T22&gt;0,"ok","increase debt")</f>
        <v>increase debt</v>
      </c>
      <c r="X14" s="11" t="str">
        <f>IF('[1]CleanStep - JUSTACCESS - FFSS'!U22&gt;0,"ok","increase debt")</f>
        <v>increase debt</v>
      </c>
      <c r="Y14" s="11" t="str">
        <f>IF('[1]CleanStep - JUSTACCESS - FFSS'!V22&gt;0,"ok","increase debt")</f>
        <v>increase debt</v>
      </c>
      <c r="Z14" s="11" t="str">
        <f>IF('[1]CleanStep - JUSTACCESS - FFSS'!W22&gt;0,"ok","increase debt")</f>
        <v>increase debt</v>
      </c>
      <c r="AA14" s="11" t="str">
        <f>IF('[1]CleanStep - JUSTACCESS - FFSS'!X22&gt;0,"ok","increase debt")</f>
        <v>increase debt</v>
      </c>
      <c r="AB14" s="11" t="str">
        <f>IF('[1]CleanStep - JUSTACCESS - FFSS'!Y22&gt;0,"ok","increase debt")</f>
        <v>increase debt</v>
      </c>
      <c r="AC14" s="11" t="str">
        <f>IF('[1]CleanStep - JUSTACCESS - FFSS'!Z22&gt;0,"ok","increase debt")</f>
        <v>increase debt</v>
      </c>
      <c r="AD14" s="11" t="str">
        <f>IF('[1]CleanStep - JUSTACCESS - FFSS'!AA22&gt;0,"ok","increase debt")</f>
        <v>increase debt</v>
      </c>
      <c r="AE14" s="11" t="str">
        <f>IF('[1]CleanStep - JUSTACCESS - FFSS'!AB22&gt;0,"ok","increase debt")</f>
        <v>increase debt</v>
      </c>
      <c r="AF14" s="11" t="str">
        <f>IF('[1]CleanStep - JUSTACCESS - FFSS'!AC22&gt;0,"ok","increase debt")</f>
        <v>increase debt</v>
      </c>
      <c r="AG14" s="11" t="str">
        <f>IF('[1]CleanStep - JUSTACCESS - FFSS'!AD22&gt;0,"ok","increase debt")</f>
        <v>increase debt</v>
      </c>
      <c r="AH14" s="11" t="str">
        <f>IF('[1]CleanStep - JUSTACCESS - FFSS'!AE22&gt;0,"ok","increase debt")</f>
        <v>increase debt</v>
      </c>
      <c r="AI14" s="11" t="str">
        <f>IF('[1]CleanStep - JUSTACCESS - FFSS'!AF22&gt;0,"ok","increase debt")</f>
        <v>increase debt</v>
      </c>
      <c r="AJ14" s="11" t="str">
        <f>IF('[1]CleanStep - JUSTACCESS - FFSS'!AG22&gt;0,"ok","increase debt")</f>
        <v>increase debt</v>
      </c>
    </row>
    <row r="15" spans="1:40" ht="17" thickTop="1" thickBot="1" x14ac:dyDescent="0.4">
      <c r="A15" s="2"/>
      <c r="B15" s="1"/>
      <c r="C15" s="12" t="s">
        <v>21</v>
      </c>
      <c r="D15" s="3" t="s">
        <v>10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M15" s="14"/>
      <c r="AN15" s="14"/>
    </row>
    <row r="16" spans="1:40" ht="16.5" thickBot="1" x14ac:dyDescent="0.4">
      <c r="A16" s="2"/>
      <c r="B16" s="1"/>
      <c r="C16" s="10" t="s">
        <v>9</v>
      </c>
      <c r="D16" s="3" t="s">
        <v>10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M16" s="14"/>
      <c r="AN16" s="14"/>
    </row>
    <row r="17" spans="39:40" x14ac:dyDescent="0.35">
      <c r="AM17" s="14"/>
      <c r="AN17" s="14"/>
    </row>
    <row r="18" spans="39:40" x14ac:dyDescent="0.35">
      <c r="AM18" s="14"/>
      <c r="AN18" s="14"/>
    </row>
    <row r="19" spans="39:40" x14ac:dyDescent="0.35">
      <c r="AM19" s="14"/>
      <c r="AN19" s="14"/>
    </row>
    <row r="20" spans="39:40" x14ac:dyDescent="0.35">
      <c r="AM20" s="14"/>
      <c r="AN20" s="14"/>
    </row>
    <row r="21" spans="39:40" x14ac:dyDescent="0.35">
      <c r="AM21" s="14"/>
      <c r="AN21" s="14"/>
    </row>
    <row r="22" spans="39:40" x14ac:dyDescent="0.35">
      <c r="AM22" s="14"/>
      <c r="AN22" s="14"/>
    </row>
    <row r="23" spans="39:40" x14ac:dyDescent="0.35">
      <c r="AM23" s="14"/>
      <c r="AN23" s="14"/>
    </row>
  </sheetData>
  <conditionalFormatting sqref="C14:AJ14">
    <cfRule type="cellIs" dxfId="5" priority="1" operator="equal">
      <formula>"increase debt"</formula>
    </cfRule>
    <cfRule type="cellIs" dxfId="4" priority="2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003D-BBE9-46A5-976B-0C15632AF571}">
  <sheetPr codeName="Hoja1"/>
  <dimension ref="A1:AJ16"/>
  <sheetViews>
    <sheetView tabSelected="1" zoomScale="82" workbookViewId="0">
      <selection activeCell="D13" sqref="D13"/>
    </sheetView>
  </sheetViews>
  <sheetFormatPr baseColWidth="10" defaultRowHeight="14.5" x14ac:dyDescent="0.35"/>
  <cols>
    <col min="1" max="1" width="30.6328125" customWidth="1"/>
    <col min="3" max="3" width="71.6328125" customWidth="1"/>
  </cols>
  <sheetData>
    <row r="1" spans="1:36" x14ac:dyDescent="0.35">
      <c r="A1" t="s">
        <v>15</v>
      </c>
      <c r="B1" t="s">
        <v>23</v>
      </c>
      <c r="C1" t="s">
        <v>16</v>
      </c>
    </row>
    <row r="2" spans="1:36" ht="16" x14ac:dyDescent="0.35">
      <c r="A2" s="2" t="s">
        <v>11</v>
      </c>
      <c r="B2" s="3" t="s">
        <v>10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6" ht="16" x14ac:dyDescent="0.35">
      <c r="A3" s="2" t="s">
        <v>12</v>
      </c>
      <c r="B3" s="3" t="s">
        <v>10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6" ht="16" x14ac:dyDescent="0.35">
      <c r="A4" s="2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6" ht="15" thickBot="1" x14ac:dyDescent="0.4">
      <c r="A5" s="2" t="s">
        <v>17</v>
      </c>
      <c r="B5" s="2" t="s">
        <v>19</v>
      </c>
      <c r="C5" s="1" t="s">
        <v>18</v>
      </c>
      <c r="D5" s="1" t="s">
        <v>23</v>
      </c>
      <c r="E5" s="1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6" ht="16.5" thickBot="1" x14ac:dyDescent="0.4">
      <c r="A6" s="4" t="s">
        <v>0</v>
      </c>
      <c r="B6" s="15">
        <v>0</v>
      </c>
      <c r="C6" s="5" t="s">
        <v>13</v>
      </c>
      <c r="D6" s="3" t="s">
        <v>1</v>
      </c>
      <c r="E6" s="6">
        <v>0</v>
      </c>
      <c r="G6" s="1"/>
      <c r="H6" s="1"/>
      <c r="I6" s="1"/>
      <c r="J6" s="1"/>
      <c r="K6" s="1"/>
      <c r="L6" s="1"/>
      <c r="M6" s="1"/>
      <c r="N6" s="7"/>
      <c r="O6" s="1"/>
      <c r="P6" s="1"/>
      <c r="Q6" s="1"/>
      <c r="R6" s="1"/>
      <c r="S6" s="1"/>
      <c r="T6" s="1"/>
      <c r="U6" s="1"/>
    </row>
    <row r="7" spans="1:36" ht="16.5" thickBot="1" x14ac:dyDescent="0.4">
      <c r="A7" s="4" t="s">
        <v>0</v>
      </c>
      <c r="B7" s="15">
        <v>0</v>
      </c>
      <c r="C7" s="5" t="s">
        <v>14</v>
      </c>
      <c r="D7" s="3" t="s">
        <v>1</v>
      </c>
      <c r="E7" s="6">
        <v>0</v>
      </c>
      <c r="F7" s="1"/>
      <c r="G7" s="1"/>
      <c r="H7" s="1"/>
      <c r="I7" s="1"/>
      <c r="J7" s="1"/>
      <c r="K7" s="1"/>
      <c r="L7" s="1"/>
      <c r="M7" s="1"/>
      <c r="N7" s="7"/>
      <c r="O7" s="1"/>
      <c r="P7" s="1"/>
      <c r="Q7" s="1"/>
      <c r="R7" s="1"/>
      <c r="S7" s="1"/>
      <c r="T7" s="1"/>
      <c r="U7" s="1"/>
    </row>
    <row r="8" spans="1:36" ht="16.5" thickBot="1" x14ac:dyDescent="0.4">
      <c r="A8" s="4" t="s">
        <v>0</v>
      </c>
      <c r="B8" s="15">
        <v>0</v>
      </c>
      <c r="C8" s="5" t="s">
        <v>2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6" ht="16.5" thickBot="1" x14ac:dyDescent="0.4">
      <c r="A9" s="1"/>
      <c r="B9" s="1"/>
      <c r="C9" s="2" t="s">
        <v>3</v>
      </c>
      <c r="D9" s="3" t="s">
        <v>1</v>
      </c>
      <c r="E9" s="6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6" ht="16.5" thickBot="1" x14ac:dyDescent="0.4">
      <c r="A10" s="1"/>
      <c r="B10" s="1"/>
      <c r="C10" s="2" t="s">
        <v>4</v>
      </c>
      <c r="D10" s="3" t="s">
        <v>5</v>
      </c>
      <c r="E10" s="8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36" ht="16.5" thickBot="1" x14ac:dyDescent="0.4">
      <c r="A11" s="1"/>
      <c r="B11" s="1"/>
      <c r="C11" s="2" t="s">
        <v>6</v>
      </c>
      <c r="D11" s="3" t="s">
        <v>5</v>
      </c>
      <c r="E11" s="8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36" ht="16" x14ac:dyDescent="0.3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36" x14ac:dyDescent="0.35">
      <c r="A13" s="2"/>
      <c r="B13" s="1"/>
      <c r="C13" s="2" t="s">
        <v>22</v>
      </c>
      <c r="D13" s="1" t="s">
        <v>23</v>
      </c>
      <c r="E13" s="9" t="s">
        <v>7</v>
      </c>
      <c r="F13" s="9">
        <v>2020</v>
      </c>
      <c r="G13" s="9">
        <v>2021</v>
      </c>
      <c r="H13" s="9">
        <v>2022</v>
      </c>
      <c r="I13" s="9">
        <v>2023</v>
      </c>
      <c r="J13" s="9">
        <v>2024</v>
      </c>
      <c r="K13" s="9">
        <v>2025</v>
      </c>
      <c r="L13" s="9">
        <v>2026</v>
      </c>
      <c r="M13" s="9">
        <v>2027</v>
      </c>
      <c r="N13" s="9">
        <v>2028</v>
      </c>
      <c r="O13" s="9">
        <v>2029</v>
      </c>
      <c r="P13" s="9">
        <v>2030</v>
      </c>
      <c r="Q13" s="9">
        <v>2031</v>
      </c>
      <c r="R13" s="9">
        <v>2032</v>
      </c>
      <c r="S13" s="9">
        <v>2033</v>
      </c>
      <c r="T13" s="9">
        <v>2034</v>
      </c>
      <c r="U13" s="9">
        <v>2035</v>
      </c>
      <c r="V13" s="9">
        <v>2036</v>
      </c>
      <c r="W13" s="9">
        <v>2037</v>
      </c>
      <c r="X13" s="9">
        <v>2038</v>
      </c>
      <c r="Y13" s="9">
        <v>2039</v>
      </c>
      <c r="Z13" s="9">
        <v>2040</v>
      </c>
      <c r="AA13" s="9">
        <v>2041</v>
      </c>
      <c r="AB13" s="9">
        <v>2042</v>
      </c>
      <c r="AC13" s="9">
        <v>2043</v>
      </c>
      <c r="AD13" s="9">
        <v>2044</v>
      </c>
      <c r="AE13" s="9">
        <v>2045</v>
      </c>
      <c r="AF13" s="9">
        <v>2046</v>
      </c>
      <c r="AG13" s="9">
        <v>2047</v>
      </c>
      <c r="AH13" s="9">
        <v>2048</v>
      </c>
      <c r="AI13" s="9">
        <v>2049</v>
      </c>
      <c r="AJ13" s="9">
        <v>2050</v>
      </c>
    </row>
    <row r="14" spans="1:36" ht="16.5" thickBot="1" x14ac:dyDescent="0.4">
      <c r="A14" s="2"/>
      <c r="B14" s="1"/>
      <c r="C14" s="10" t="s">
        <v>8</v>
      </c>
      <c r="D14" s="1"/>
      <c r="E14" s="11" t="str">
        <f>IF('[1]CleanStep - JUSTACCESS - FFSS'!F22&gt;0,"ok","increase debt")</f>
        <v>increase debt</v>
      </c>
      <c r="F14" s="11" t="str">
        <f>IF('[1]CleanStep - JUSTACCESS - FFSS'!E22&gt;0,"ok","increase debt")</f>
        <v>increase debt</v>
      </c>
      <c r="G14" s="11" t="str">
        <f>IF('[1]CleanStep - JUSTACCESS - FFSS'!E22&gt;0,"ok","increase debt")</f>
        <v>increase debt</v>
      </c>
      <c r="H14" s="11" t="str">
        <f>IF('[1]CleanStep - JUSTACCESS - FFSS'!E22&gt;0,"ok","increase debt")</f>
        <v>increase debt</v>
      </c>
      <c r="I14" s="11" t="str">
        <f>IF('[1]CleanStep - JUSTACCESS - FFSS'!F22&gt;0,"ok","increase debt")</f>
        <v>increase debt</v>
      </c>
      <c r="J14" s="11" t="str">
        <f>IF('[1]CleanStep - JUSTACCESS - FFSS'!G22&gt;0,"ok","increase debt")</f>
        <v>increase debt</v>
      </c>
      <c r="K14" s="11" t="str">
        <f>IF('[1]CleanStep - JUSTACCESS - FFSS'!H22&gt;0,"ok","increase debt")</f>
        <v>increase debt</v>
      </c>
      <c r="L14" s="11" t="str">
        <f>IF('[1]CleanStep - JUSTACCESS - FFSS'!I22&gt;0,"ok","increase debt")</f>
        <v>increase debt</v>
      </c>
      <c r="M14" s="11" t="str">
        <f>IF('[1]CleanStep - JUSTACCESS - FFSS'!J22&gt;0,"ok","increase debt")</f>
        <v>increase debt</v>
      </c>
      <c r="N14" s="11" t="str">
        <f>IF('[1]CleanStep - JUSTACCESS - FFSS'!K22&gt;0,"ok","increase debt")</f>
        <v>increase debt</v>
      </c>
      <c r="O14" s="11" t="str">
        <f>IF('[1]CleanStep - JUSTACCESS - FFSS'!L22&gt;0,"ok","increase debt")</f>
        <v>increase debt</v>
      </c>
      <c r="P14" s="11" t="str">
        <f>IF('[1]CleanStep - JUSTACCESS - FFSS'!M22&gt;0,"ok","increase debt")</f>
        <v>increase debt</v>
      </c>
      <c r="Q14" s="11" t="str">
        <f>IF('[1]CleanStep - JUSTACCESS - FFSS'!N22&gt;0,"ok","increase debt")</f>
        <v>increase debt</v>
      </c>
      <c r="R14" s="11" t="str">
        <f>IF('[1]CleanStep - JUSTACCESS - FFSS'!O22&gt;0,"ok","increase debt")</f>
        <v>increase debt</v>
      </c>
      <c r="S14" s="11" t="str">
        <f>IF('[1]CleanStep - JUSTACCESS - FFSS'!P22&gt;0,"ok","increase debt")</f>
        <v>increase debt</v>
      </c>
      <c r="T14" s="11" t="str">
        <f>IF('[1]CleanStep - JUSTACCESS - FFSS'!Q22&gt;0,"ok","increase debt")</f>
        <v>increase debt</v>
      </c>
      <c r="U14" s="11" t="str">
        <f>IF('[1]CleanStep - JUSTACCESS - FFSS'!R22&gt;0,"ok","increase debt")</f>
        <v>increase debt</v>
      </c>
      <c r="V14" s="11" t="str">
        <f>IF('[1]CleanStep - JUSTACCESS - FFSS'!S22&gt;0,"ok","increase debt")</f>
        <v>increase debt</v>
      </c>
      <c r="W14" s="11" t="str">
        <f>IF('[1]CleanStep - JUSTACCESS - FFSS'!T22&gt;0,"ok","increase debt")</f>
        <v>increase debt</v>
      </c>
      <c r="X14" s="11" t="str">
        <f>IF('[1]CleanStep - JUSTACCESS - FFSS'!U22&gt;0,"ok","increase debt")</f>
        <v>increase debt</v>
      </c>
      <c r="Y14" s="11" t="str">
        <f>IF('[1]CleanStep - JUSTACCESS - FFSS'!V22&gt;0,"ok","increase debt")</f>
        <v>increase debt</v>
      </c>
      <c r="Z14" s="11" t="str">
        <f>IF('[1]CleanStep - JUSTACCESS - FFSS'!W22&gt;0,"ok","increase debt")</f>
        <v>increase debt</v>
      </c>
      <c r="AA14" s="11" t="str">
        <f>IF('[1]CleanStep - JUSTACCESS - FFSS'!X22&gt;0,"ok","increase debt")</f>
        <v>increase debt</v>
      </c>
      <c r="AB14" s="11" t="str">
        <f>IF('[1]CleanStep - JUSTACCESS - FFSS'!Y22&gt;0,"ok","increase debt")</f>
        <v>increase debt</v>
      </c>
      <c r="AC14" s="11" t="str">
        <f>IF('[1]CleanStep - JUSTACCESS - FFSS'!Z22&gt;0,"ok","increase debt")</f>
        <v>increase debt</v>
      </c>
      <c r="AD14" s="11" t="str">
        <f>IF('[1]CleanStep - JUSTACCESS - FFSS'!AA22&gt;0,"ok","increase debt")</f>
        <v>increase debt</v>
      </c>
      <c r="AE14" s="11" t="str">
        <f>IF('[1]CleanStep - JUSTACCESS - FFSS'!AB22&gt;0,"ok","increase debt")</f>
        <v>increase debt</v>
      </c>
      <c r="AF14" s="11" t="str">
        <f>IF('[1]CleanStep - JUSTACCESS - FFSS'!AC22&gt;0,"ok","increase debt")</f>
        <v>increase debt</v>
      </c>
      <c r="AG14" s="11" t="str">
        <f>IF('[1]CleanStep - JUSTACCESS - FFSS'!AD22&gt;0,"ok","increase debt")</f>
        <v>increase debt</v>
      </c>
      <c r="AH14" s="11" t="str">
        <f>IF('[1]CleanStep - JUSTACCESS - FFSS'!AE22&gt;0,"ok","increase debt")</f>
        <v>increase debt</v>
      </c>
      <c r="AI14" s="11" t="str">
        <f>IF('[1]CleanStep - JUSTACCESS - FFSS'!AF22&gt;0,"ok","increase debt")</f>
        <v>increase debt</v>
      </c>
      <c r="AJ14" s="11" t="str">
        <f>IF('[1]CleanStep - JUSTACCESS - FFSS'!AG22&gt;0,"ok","increase debt")</f>
        <v>increase debt</v>
      </c>
    </row>
    <row r="15" spans="1:36" ht="17" thickTop="1" thickBot="1" x14ac:dyDescent="0.4">
      <c r="A15" s="2"/>
      <c r="B15" s="1"/>
      <c r="C15" s="12" t="s">
        <v>21</v>
      </c>
      <c r="D15" s="3" t="s">
        <v>10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ht="16.5" thickBot="1" x14ac:dyDescent="0.4">
      <c r="A16" s="2"/>
      <c r="B16" s="1"/>
      <c r="C16" s="10" t="s">
        <v>9</v>
      </c>
      <c r="D16" s="3" t="s">
        <v>10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</row>
  </sheetData>
  <conditionalFormatting sqref="C14:AJ14">
    <cfRule type="cellIs" dxfId="3" priority="1" operator="equal">
      <formula>"increase debt"</formula>
    </cfRule>
    <cfRule type="cellIs" dxfId="2" priority="2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DA0E-602E-4263-A988-9246800451B4}">
  <sheetPr codeName="Hoja3"/>
  <dimension ref="A1:AJ16"/>
  <sheetViews>
    <sheetView zoomScale="83" workbookViewId="0">
      <selection activeCell="D13" sqref="D13"/>
    </sheetView>
  </sheetViews>
  <sheetFormatPr baseColWidth="10" defaultRowHeight="14.5" x14ac:dyDescent="0.35"/>
  <cols>
    <col min="1" max="1" width="39.36328125" customWidth="1"/>
    <col min="3" max="3" width="24.6328125" customWidth="1"/>
  </cols>
  <sheetData>
    <row r="1" spans="1:36" x14ac:dyDescent="0.35">
      <c r="A1" t="s">
        <v>15</v>
      </c>
      <c r="B1" t="s">
        <v>23</v>
      </c>
      <c r="C1" t="s">
        <v>16</v>
      </c>
    </row>
    <row r="2" spans="1:36" ht="16" x14ac:dyDescent="0.35">
      <c r="A2" s="2" t="s">
        <v>11</v>
      </c>
      <c r="B2" s="3" t="s">
        <v>10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6" ht="16" x14ac:dyDescent="0.35">
      <c r="A3" s="2" t="s">
        <v>12</v>
      </c>
      <c r="B3" s="3" t="s">
        <v>10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6" ht="16" x14ac:dyDescent="0.35">
      <c r="A4" s="2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6" ht="15" thickBot="1" x14ac:dyDescent="0.4">
      <c r="A5" s="2" t="s">
        <v>17</v>
      </c>
      <c r="B5" s="2" t="s">
        <v>19</v>
      </c>
      <c r="C5" s="1" t="s">
        <v>18</v>
      </c>
      <c r="D5" s="1" t="s">
        <v>23</v>
      </c>
      <c r="E5" s="1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6" ht="16.5" thickBot="1" x14ac:dyDescent="0.4">
      <c r="A6" s="4" t="s">
        <v>0</v>
      </c>
      <c r="B6" s="15">
        <v>0</v>
      </c>
      <c r="C6" s="5" t="s">
        <v>13</v>
      </c>
      <c r="D6" s="3" t="s">
        <v>1</v>
      </c>
      <c r="E6" s="6">
        <v>0</v>
      </c>
      <c r="G6" s="1"/>
      <c r="H6" s="1"/>
      <c r="I6" s="1"/>
      <c r="J6" s="1"/>
      <c r="K6" s="1"/>
      <c r="L6" s="1"/>
      <c r="M6" s="1"/>
      <c r="N6" s="7"/>
      <c r="O6" s="1"/>
      <c r="P6" s="1"/>
      <c r="Q6" s="1"/>
      <c r="R6" s="1"/>
      <c r="S6" s="1"/>
      <c r="T6" s="1"/>
      <c r="U6" s="1"/>
    </row>
    <row r="7" spans="1:36" ht="16.5" thickBot="1" x14ac:dyDescent="0.4">
      <c r="A7" s="4" t="s">
        <v>0</v>
      </c>
      <c r="B7" s="15">
        <v>0</v>
      </c>
      <c r="C7" s="5" t="s">
        <v>14</v>
      </c>
      <c r="D7" s="3" t="s">
        <v>1</v>
      </c>
      <c r="E7" s="6">
        <v>0</v>
      </c>
      <c r="F7" s="1"/>
      <c r="G7" s="1"/>
      <c r="H7" s="1"/>
      <c r="I7" s="1"/>
      <c r="J7" s="1"/>
      <c r="K7" s="1"/>
      <c r="L7" s="1"/>
      <c r="M7" s="1"/>
      <c r="N7" s="7"/>
      <c r="O7" s="1"/>
      <c r="P7" s="1"/>
      <c r="Q7" s="1"/>
      <c r="R7" s="1"/>
      <c r="S7" s="1"/>
      <c r="T7" s="1"/>
      <c r="U7" s="1"/>
    </row>
    <row r="8" spans="1:36" ht="16.5" thickBot="1" x14ac:dyDescent="0.4">
      <c r="A8" s="4" t="s">
        <v>0</v>
      </c>
      <c r="B8" s="15">
        <v>0</v>
      </c>
      <c r="C8" s="5" t="s">
        <v>2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6" ht="16.5" thickBot="1" x14ac:dyDescent="0.4">
      <c r="A9" s="1"/>
      <c r="B9" s="1"/>
      <c r="C9" s="2" t="s">
        <v>3</v>
      </c>
      <c r="D9" s="3" t="s">
        <v>1</v>
      </c>
      <c r="E9" s="6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6" ht="16.5" thickBot="1" x14ac:dyDescent="0.4">
      <c r="A10" s="1"/>
      <c r="B10" s="1"/>
      <c r="C10" s="2" t="s">
        <v>4</v>
      </c>
      <c r="D10" s="3" t="s">
        <v>5</v>
      </c>
      <c r="E10" s="8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36" ht="16.5" thickBot="1" x14ac:dyDescent="0.4">
      <c r="A11" s="1"/>
      <c r="B11" s="1"/>
      <c r="C11" s="2" t="s">
        <v>6</v>
      </c>
      <c r="D11" s="3" t="s">
        <v>5</v>
      </c>
      <c r="E11" s="8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36" ht="16" x14ac:dyDescent="0.3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36" x14ac:dyDescent="0.35">
      <c r="A13" s="2"/>
      <c r="B13" s="1"/>
      <c r="C13" s="2" t="s">
        <v>22</v>
      </c>
      <c r="D13" s="1" t="s">
        <v>23</v>
      </c>
      <c r="E13" s="9" t="s">
        <v>7</v>
      </c>
      <c r="F13" s="9">
        <v>2020</v>
      </c>
      <c r="G13" s="9">
        <v>2021</v>
      </c>
      <c r="H13" s="9">
        <v>2022</v>
      </c>
      <c r="I13" s="9">
        <v>2023</v>
      </c>
      <c r="J13" s="9">
        <v>2024</v>
      </c>
      <c r="K13" s="9">
        <v>2025</v>
      </c>
      <c r="L13" s="9">
        <v>2026</v>
      </c>
      <c r="M13" s="9">
        <v>2027</v>
      </c>
      <c r="N13" s="9">
        <v>2028</v>
      </c>
      <c r="O13" s="9">
        <v>2029</v>
      </c>
      <c r="P13" s="9">
        <v>2030</v>
      </c>
      <c r="Q13" s="9">
        <v>2031</v>
      </c>
      <c r="R13" s="9">
        <v>2032</v>
      </c>
      <c r="S13" s="9">
        <v>2033</v>
      </c>
      <c r="T13" s="9">
        <v>2034</v>
      </c>
      <c r="U13" s="9">
        <v>2035</v>
      </c>
      <c r="V13" s="9">
        <v>2036</v>
      </c>
      <c r="W13" s="9">
        <v>2037</v>
      </c>
      <c r="X13" s="9">
        <v>2038</v>
      </c>
      <c r="Y13" s="9">
        <v>2039</v>
      </c>
      <c r="Z13" s="9">
        <v>2040</v>
      </c>
      <c r="AA13" s="9">
        <v>2041</v>
      </c>
      <c r="AB13" s="9">
        <v>2042</v>
      </c>
      <c r="AC13" s="9">
        <v>2043</v>
      </c>
      <c r="AD13" s="9">
        <v>2044</v>
      </c>
      <c r="AE13" s="9">
        <v>2045</v>
      </c>
      <c r="AF13" s="9">
        <v>2046</v>
      </c>
      <c r="AG13" s="9">
        <v>2047</v>
      </c>
      <c r="AH13" s="9">
        <v>2048</v>
      </c>
      <c r="AI13" s="9">
        <v>2049</v>
      </c>
      <c r="AJ13" s="9">
        <v>2050</v>
      </c>
    </row>
    <row r="14" spans="1:36" ht="16.5" thickBot="1" x14ac:dyDescent="0.4">
      <c r="A14" s="2"/>
      <c r="B14" s="1"/>
      <c r="C14" s="10" t="s">
        <v>8</v>
      </c>
      <c r="D14" s="1"/>
      <c r="E14" s="11" t="str">
        <f>IF('[1]CleanStep - JUSTACCESS - FFSS'!F22&gt;0,"ok","increase debt")</f>
        <v>increase debt</v>
      </c>
      <c r="F14" s="11" t="str">
        <f>IF('[1]CleanStep - JUSTACCESS - FFSS'!E22&gt;0,"ok","increase debt")</f>
        <v>increase debt</v>
      </c>
      <c r="G14" s="11" t="str">
        <f>IF('[1]CleanStep - JUSTACCESS - FFSS'!E22&gt;0,"ok","increase debt")</f>
        <v>increase debt</v>
      </c>
      <c r="H14" s="11" t="str">
        <f>IF('[1]CleanStep - JUSTACCESS - FFSS'!E22&gt;0,"ok","increase debt")</f>
        <v>increase debt</v>
      </c>
      <c r="I14" s="11" t="str">
        <f>IF('[1]CleanStep - JUSTACCESS - FFSS'!F22&gt;0,"ok","increase debt")</f>
        <v>increase debt</v>
      </c>
      <c r="J14" s="11" t="str">
        <f>IF('[1]CleanStep - JUSTACCESS - FFSS'!G22&gt;0,"ok","increase debt")</f>
        <v>increase debt</v>
      </c>
      <c r="K14" s="11" t="str">
        <f>IF('[1]CleanStep - JUSTACCESS - FFSS'!H22&gt;0,"ok","increase debt")</f>
        <v>increase debt</v>
      </c>
      <c r="L14" s="11" t="str">
        <f>IF('[1]CleanStep - JUSTACCESS - FFSS'!I22&gt;0,"ok","increase debt")</f>
        <v>increase debt</v>
      </c>
      <c r="M14" s="11" t="str">
        <f>IF('[1]CleanStep - JUSTACCESS - FFSS'!J22&gt;0,"ok","increase debt")</f>
        <v>increase debt</v>
      </c>
      <c r="N14" s="11" t="str">
        <f>IF('[1]CleanStep - JUSTACCESS - FFSS'!K22&gt;0,"ok","increase debt")</f>
        <v>increase debt</v>
      </c>
      <c r="O14" s="11" t="str">
        <f>IF('[1]CleanStep - JUSTACCESS - FFSS'!L22&gt;0,"ok","increase debt")</f>
        <v>increase debt</v>
      </c>
      <c r="P14" s="11" t="str">
        <f>IF('[1]CleanStep - JUSTACCESS - FFSS'!M22&gt;0,"ok","increase debt")</f>
        <v>increase debt</v>
      </c>
      <c r="Q14" s="11" t="str">
        <f>IF('[1]CleanStep - JUSTACCESS - FFSS'!N22&gt;0,"ok","increase debt")</f>
        <v>increase debt</v>
      </c>
      <c r="R14" s="11" t="str">
        <f>IF('[1]CleanStep - JUSTACCESS - FFSS'!O22&gt;0,"ok","increase debt")</f>
        <v>increase debt</v>
      </c>
      <c r="S14" s="11" t="str">
        <f>IF('[1]CleanStep - JUSTACCESS - FFSS'!P22&gt;0,"ok","increase debt")</f>
        <v>increase debt</v>
      </c>
      <c r="T14" s="11" t="str">
        <f>IF('[1]CleanStep - JUSTACCESS - FFSS'!Q22&gt;0,"ok","increase debt")</f>
        <v>increase debt</v>
      </c>
      <c r="U14" s="11" t="str">
        <f>IF('[1]CleanStep - JUSTACCESS - FFSS'!R22&gt;0,"ok","increase debt")</f>
        <v>increase debt</v>
      </c>
      <c r="V14" s="11" t="str">
        <f>IF('[1]CleanStep - JUSTACCESS - FFSS'!S22&gt;0,"ok","increase debt")</f>
        <v>increase debt</v>
      </c>
      <c r="W14" s="11" t="str">
        <f>IF('[1]CleanStep - JUSTACCESS - FFSS'!T22&gt;0,"ok","increase debt")</f>
        <v>increase debt</v>
      </c>
      <c r="X14" s="11" t="str">
        <f>IF('[1]CleanStep - JUSTACCESS - FFSS'!U22&gt;0,"ok","increase debt")</f>
        <v>increase debt</v>
      </c>
      <c r="Y14" s="11" t="str">
        <f>IF('[1]CleanStep - JUSTACCESS - FFSS'!V22&gt;0,"ok","increase debt")</f>
        <v>increase debt</v>
      </c>
      <c r="Z14" s="11" t="str">
        <f>IF('[1]CleanStep - JUSTACCESS - FFSS'!W22&gt;0,"ok","increase debt")</f>
        <v>increase debt</v>
      </c>
      <c r="AA14" s="11" t="str">
        <f>IF('[1]CleanStep - JUSTACCESS - FFSS'!X22&gt;0,"ok","increase debt")</f>
        <v>increase debt</v>
      </c>
      <c r="AB14" s="11" t="str">
        <f>IF('[1]CleanStep - JUSTACCESS - FFSS'!Y22&gt;0,"ok","increase debt")</f>
        <v>increase debt</v>
      </c>
      <c r="AC14" s="11" t="str">
        <f>IF('[1]CleanStep - JUSTACCESS - FFSS'!Z22&gt;0,"ok","increase debt")</f>
        <v>increase debt</v>
      </c>
      <c r="AD14" s="11" t="str">
        <f>IF('[1]CleanStep - JUSTACCESS - FFSS'!AA22&gt;0,"ok","increase debt")</f>
        <v>increase debt</v>
      </c>
      <c r="AE14" s="11" t="str">
        <f>IF('[1]CleanStep - JUSTACCESS - FFSS'!AB22&gt;0,"ok","increase debt")</f>
        <v>increase debt</v>
      </c>
      <c r="AF14" s="11" t="str">
        <f>IF('[1]CleanStep - JUSTACCESS - FFSS'!AC22&gt;0,"ok","increase debt")</f>
        <v>increase debt</v>
      </c>
      <c r="AG14" s="11" t="str">
        <f>IF('[1]CleanStep - JUSTACCESS - FFSS'!AD22&gt;0,"ok","increase debt")</f>
        <v>increase debt</v>
      </c>
      <c r="AH14" s="11" t="str">
        <f>IF('[1]CleanStep - JUSTACCESS - FFSS'!AE22&gt;0,"ok","increase debt")</f>
        <v>increase debt</v>
      </c>
      <c r="AI14" s="11" t="str">
        <f>IF('[1]CleanStep - JUSTACCESS - FFSS'!AF22&gt;0,"ok","increase debt")</f>
        <v>increase debt</v>
      </c>
      <c r="AJ14" s="11" t="str">
        <f>IF('[1]CleanStep - JUSTACCESS - FFSS'!AG22&gt;0,"ok","increase debt")</f>
        <v>increase debt</v>
      </c>
    </row>
    <row r="15" spans="1:36" ht="17" thickTop="1" thickBot="1" x14ac:dyDescent="0.4">
      <c r="A15" s="2"/>
      <c r="B15" s="1"/>
      <c r="C15" s="12" t="s">
        <v>21</v>
      </c>
      <c r="D15" s="3" t="s">
        <v>10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ht="16.5" thickBot="1" x14ac:dyDescent="0.4">
      <c r="A16" s="2"/>
      <c r="B16" s="1"/>
      <c r="C16" s="10" t="s">
        <v>9</v>
      </c>
      <c r="D16" s="3" t="s">
        <v>10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</row>
  </sheetData>
  <conditionalFormatting sqref="C14:AJ14">
    <cfRule type="cellIs" dxfId="1" priority="1" operator="equal">
      <formula>"increase debt"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E-Cooking</vt:lpstr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2025-06-19T09:25:21Z</dcterms:created>
  <dcterms:modified xsi:type="dcterms:W3CDTF">2025-06-28T14:07:21Z</dcterms:modified>
</cp:coreProperties>
</file>