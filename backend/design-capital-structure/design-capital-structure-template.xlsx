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54da175e61d5af/Escritorio/IIT/NICCP-AI/backend/design-capital-structure/"/>
    </mc:Choice>
  </mc:AlternateContent>
  <xr:revisionPtr revIDLastSave="314" documentId="8_{E5295D48-A9F0-4D2F-8DCF-7C23BD8E24E9}" xr6:coauthVersionLast="47" xr6:coauthVersionMax="47" xr10:uidLastSave="{E01C4728-CF11-4769-BD37-B2D0E9D407DF}"/>
  <bookViews>
    <workbookView xWindow="-110" yWindow="-110" windowWidth="19420" windowHeight="11500" activeTab="1" xr2:uid="{BBCF56CD-8AD5-4002-91F7-ED7A4CE8CFDA}"/>
  </bookViews>
  <sheets>
    <sheet name="Electricity &amp; E-Cooking" sheetId="1" r:id="rId1"/>
    <sheet name="Electricity (Low access)" sheetId="2" r:id="rId2"/>
    <sheet name="LPG" sheetId="3" r:id="rId3"/>
  </sheets>
  <externalReferences>
    <externalReference r:id="rId4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9" i="3" l="1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</calcChain>
</file>

<file path=xl/sharedStrings.xml><?xml version="1.0" encoding="utf-8"?>
<sst xmlns="http://schemas.openxmlformats.org/spreadsheetml/2006/main" count="114" uniqueCount="24">
  <si>
    <t>%</t>
  </si>
  <si>
    <t>3.- Debt</t>
  </si>
  <si>
    <t>Interests</t>
  </si>
  <si>
    <t>Grace period</t>
  </si>
  <si>
    <t>years</t>
  </si>
  <si>
    <t>Amortization period</t>
  </si>
  <si>
    <t>Baseline</t>
  </si>
  <si>
    <t>Annual debt needs</t>
  </si>
  <si>
    <t>Debt increase</t>
  </si>
  <si>
    <t>M$</t>
  </si>
  <si>
    <t>How much to be finance (till 2034)</t>
  </si>
  <si>
    <t>How much to be finance (till 2030 - SDG 7 targets)</t>
  </si>
  <si>
    <t>1.- Equity (to be injected in year 0)</t>
  </si>
  <si>
    <t>2.- Grants (inyected in the first two years but linked to CAPEX deployment)</t>
  </si>
  <si>
    <t>Financiation</t>
  </si>
  <si>
    <t>Amount</t>
  </si>
  <si>
    <t xml:space="preserve">Total </t>
  </si>
  <si>
    <t>Division</t>
  </si>
  <si>
    <t>How much to increase</t>
  </si>
  <si>
    <t>Type</t>
  </si>
  <si>
    <t>Units</t>
  </si>
  <si>
    <t>Equity</t>
  </si>
  <si>
    <t>Grants</t>
  </si>
  <si>
    <t>Debt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</si>
</sst>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&quot;M$&quot;;\ \(#,##0\)\ &quot;M$&quot;;&quot;-&quot;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 tint="0.499984740745262"/>
      <name val="Aptos Narrow"/>
      <family val="2"/>
      <scheme val="minor"/>
    </font>
    <font>
      <i/>
      <sz val="12"/>
      <color theme="1" tint="0.499984740745262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i/>
      <sz val="12"/>
      <color theme="1"/>
      <name val="Aptos Narrow"/>
      <family val="2"/>
      <scheme val="minor"/>
    </font>
    <font>
      <sz val="12"/>
      <color rgb="FF00206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 vertical="center" indent="3"/>
    </xf>
    <xf numFmtId="0" fontId="4" fillId="0" borderId="0" xfId="0" applyFont="1" applyAlignment="1">
      <alignment horizontal="center" vertical="center"/>
    </xf>
    <xf numFmtId="0" fontId="6" fillId="2" borderId="0" xfId="0" applyFont="1" applyFill="1" applyAlignment="1">
      <alignment horizontal="right" vertical="center"/>
    </xf>
    <xf numFmtId="0" fontId="7" fillId="3" borderId="0" xfId="0" applyFont="1" applyFill="1" applyAlignment="1">
      <alignment horizontal="left" vertical="center" indent="3"/>
    </xf>
    <xf numFmtId="9" fontId="8" fillId="4" borderId="1" xfId="1" applyFont="1" applyFill="1" applyBorder="1" applyAlignment="1" applyProtection="1">
      <alignment horizontal="center" vertical="center"/>
      <protection locked="0"/>
    </xf>
    <xf numFmtId="9" fontId="5" fillId="0" borderId="0" xfId="1" applyFont="1" applyAlignment="1">
      <alignment vertical="center"/>
    </xf>
    <xf numFmtId="3" fontId="8" fillId="4" borderId="1" xfId="0" applyNumberFormat="1" applyFont="1" applyFill="1" applyBorder="1" applyAlignment="1" applyProtection="1">
      <alignment horizontal="center" vertical="center"/>
      <protection locked="0"/>
    </xf>
    <xf numFmtId="1" fontId="2" fillId="5" borderId="0" xfId="0" applyNumberFormat="1" applyFont="1" applyFill="1" applyAlignment="1">
      <alignment horizontal="center" vertical="center"/>
    </xf>
    <xf numFmtId="0" fontId="3" fillId="0" borderId="0" xfId="0" applyFont="1" applyAlignment="1">
      <alignment horizontal="left" vertical="center" indent="3"/>
    </xf>
    <xf numFmtId="0" fontId="3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left" vertical="center" indent="3"/>
    </xf>
    <xf numFmtId="164" fontId="8" fillId="4" borderId="1" xfId="0" applyNumberFormat="1" applyFont="1" applyFill="1" applyBorder="1" applyAlignment="1" applyProtection="1">
      <alignment horizontal="center" vertical="center"/>
      <protection locked="0"/>
    </xf>
    <xf numFmtId="0" fontId="9" fillId="0" borderId="0" xfId="0" applyFont="1"/>
    <xf numFmtId="0" fontId="10" fillId="2" borderId="0" xfId="0" applyFont="1" applyFill="1" applyAlignment="1">
      <alignment vertical="center"/>
    </xf>
    <xf numFmtId="164" fontId="8" fillId="0" borderId="1" xfId="0" applyNumberFormat="1" applyFont="1" applyBorder="1" applyAlignment="1" applyProtection="1">
      <alignment horizontal="center" vertical="center"/>
      <protection locked="0"/>
    </xf>
  </cellXfs>
  <cellStyles count="2">
    <cellStyle name="Normal" xfId="0" builtinId="0"/>
    <cellStyle name="Porcentaje" xfId="1" builtinId="5"/>
  </cellStyles>
  <dxfs count="1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8954da175e61d5af/Escritorio/IIT/NICCP_Santos/Solved_NICCP.xlsm" TargetMode="External"/><Relationship Id="rId1" Type="http://schemas.openxmlformats.org/officeDocument/2006/relationships/externalLinkPath" Target="/8954da175e61d5af/Escritorio/IIT/NICCP_Santos/Solved_NICCP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tion"/>
      <sheetName val="Execution"/>
      <sheetName val="&gt;&gt;&gt;"/>
      <sheetName val="Summary financing - Dashboard"/>
      <sheetName val="Carbon Credits"/>
      <sheetName val="Techno-economic INPUTS"/>
      <sheetName val="CleanStep Plan &gt;&gt;"/>
      <sheetName val="E-Cooking CleanStep - FFSS"/>
      <sheetName val="CleanStep - Electricity - FFSS"/>
      <sheetName val="CleanStep - JUSTACCESS - FFSS"/>
      <sheetName val="CleanStep - CAPEX - Electricity"/>
      <sheetName val="CleanStep - LPG - FFSS"/>
      <sheetName val="CleanStep - CAPEX - LPG"/>
      <sheetName val="Aligned Plan &gt;&gt;&gt;"/>
      <sheetName val="E-cooking Aligned - FFSS"/>
      <sheetName val="Aligned - Electricity - FFSS"/>
      <sheetName val="Aligned - JUSTACCESS - FFSS"/>
      <sheetName val="Aligned - CAPEX - Electricity"/>
      <sheetName val="Aligned - LPG - FFSS"/>
      <sheetName val="Aligned - CAPEX - LPG"/>
      <sheetName val="Inputs"/>
      <sheetName val="Summary Financing"/>
      <sheetName val="CS - Generation"/>
      <sheetName val="CS - Grid Extension"/>
      <sheetName val="CS - Minigrids"/>
      <sheetName val="CS -SHS"/>
      <sheetName val="Financial Statements"/>
      <sheetName val="CAPEX"/>
      <sheetName val="OPEX"/>
      <sheetName val="Currency Inflation"/>
      <sheetName val="CAPEX roll-ou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7">
          <cell r="B27" t="str">
            <v>OPEX</v>
          </cell>
          <cell r="C27" t="str">
            <v>M$</v>
          </cell>
          <cell r="D27">
            <v>-102.31790264506292</v>
          </cell>
          <cell r="E27">
            <v>-112.64618140756356</v>
          </cell>
          <cell r="F27">
            <v>-125.76708075472008</v>
          </cell>
          <cell r="G27">
            <v>-138.61429749679272</v>
          </cell>
          <cell r="H27">
            <v>-151.19199319594847</v>
          </cell>
          <cell r="I27">
            <v>-163.50427355137134</v>
          </cell>
          <cell r="J27">
            <v>-175.55518910036622</v>
          </cell>
          <cell r="K27">
            <v>-182.57560685088956</v>
          </cell>
          <cell r="L27">
            <v>-186.43611019749875</v>
          </cell>
          <cell r="M27">
            <v>-190.2011459164907</v>
          </cell>
          <cell r="N27">
            <v>-193.87223731008299</v>
          </cell>
          <cell r="O27">
            <v>-197.4508867612119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833E1-9C55-460E-A922-AEA15E5E66A2}">
  <sheetPr codeName="Hoja2"/>
  <dimension ref="A1:AO28"/>
  <sheetViews>
    <sheetView topLeftCell="T3" zoomScale="78" zoomScaleNormal="100" workbookViewId="0">
      <selection sqref="A1:AL27"/>
    </sheetView>
  </sheetViews>
  <sheetFormatPr baseColWidth="10" defaultRowHeight="14.5" x14ac:dyDescent="0.35"/>
  <cols>
    <col min="4" max="4" width="41.08984375" customWidth="1"/>
  </cols>
  <sheetData>
    <row r="1" spans="1:41" x14ac:dyDescent="0.35">
      <c r="A1" t="s">
        <v>14</v>
      </c>
      <c r="B1" t="s">
        <v>20</v>
      </c>
      <c r="C1" t="s">
        <v>15</v>
      </c>
      <c r="AN1" s="14"/>
      <c r="AO1" s="14"/>
    </row>
    <row r="2" spans="1:41" ht="16" x14ac:dyDescent="0.35">
      <c r="A2" s="2" t="s">
        <v>10</v>
      </c>
      <c r="B2" s="3" t="s">
        <v>9</v>
      </c>
      <c r="C2" s="1">
        <v>0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AN2" s="14"/>
      <c r="AO2" s="14"/>
    </row>
    <row r="3" spans="1:41" ht="16" x14ac:dyDescent="0.35">
      <c r="A3" s="2" t="s">
        <v>11</v>
      </c>
      <c r="B3" s="3" t="s">
        <v>9</v>
      </c>
      <c r="C3" s="1">
        <v>0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AN3" s="14"/>
      <c r="AO3" s="14"/>
    </row>
    <row r="4" spans="1:41" ht="16" x14ac:dyDescent="0.35">
      <c r="A4" s="2"/>
      <c r="B4" s="2"/>
      <c r="C4" s="3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AN4" s="14"/>
      <c r="AO4" s="14"/>
    </row>
    <row r="5" spans="1:41" x14ac:dyDescent="0.35">
      <c r="A5" s="2" t="s">
        <v>16</v>
      </c>
      <c r="B5" t="s">
        <v>20</v>
      </c>
      <c r="C5" s="2" t="s">
        <v>15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AN5" s="14"/>
      <c r="AO5" s="14"/>
    </row>
    <row r="6" spans="1:41" ht="16" x14ac:dyDescent="0.35">
      <c r="A6" s="4" t="s">
        <v>21</v>
      </c>
      <c r="B6" s="4" t="s">
        <v>9</v>
      </c>
      <c r="C6" s="15">
        <v>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7"/>
      <c r="P6" s="1"/>
      <c r="Q6" s="1"/>
      <c r="R6" s="1"/>
      <c r="S6" s="1"/>
      <c r="T6" s="1"/>
      <c r="U6" s="1"/>
      <c r="V6" s="1"/>
      <c r="AN6" s="14"/>
      <c r="AO6" s="14"/>
    </row>
    <row r="7" spans="1:41" ht="16" x14ac:dyDescent="0.35">
      <c r="A7" s="4" t="s">
        <v>22</v>
      </c>
      <c r="B7" s="4" t="s">
        <v>9</v>
      </c>
      <c r="C7" s="15">
        <v>0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7"/>
      <c r="P7" s="1"/>
      <c r="Q7" s="1"/>
      <c r="R7" s="1"/>
      <c r="S7" s="1"/>
      <c r="T7" s="1"/>
      <c r="U7" s="1"/>
      <c r="V7" s="1"/>
      <c r="AN7" s="14"/>
      <c r="AO7" s="14"/>
    </row>
    <row r="8" spans="1:41" ht="16" x14ac:dyDescent="0.35">
      <c r="A8" s="4" t="s">
        <v>23</v>
      </c>
      <c r="B8" s="4" t="s">
        <v>9</v>
      </c>
      <c r="C8" s="15">
        <v>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AN8" s="14"/>
      <c r="AO8" s="14"/>
    </row>
    <row r="9" spans="1:41" x14ac:dyDescent="0.3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AN9" s="14"/>
      <c r="AO9" s="14"/>
    </row>
    <row r="10" spans="1:41" ht="15" thickBot="1" x14ac:dyDescent="0.4">
      <c r="A10" s="1" t="s">
        <v>17</v>
      </c>
      <c r="B10" s="1" t="s">
        <v>20</v>
      </c>
      <c r="C10" s="1" t="s">
        <v>15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AK10" s="14"/>
      <c r="AL10" s="14"/>
      <c r="AN10" s="14"/>
      <c r="AO10" s="14"/>
    </row>
    <row r="11" spans="1:41" ht="16.5" thickBot="1" x14ac:dyDescent="0.4">
      <c r="A11" s="5" t="s">
        <v>12</v>
      </c>
      <c r="B11" s="3" t="s">
        <v>0</v>
      </c>
      <c r="C11" s="6">
        <v>0</v>
      </c>
      <c r="E11" s="1"/>
      <c r="F11" s="1"/>
      <c r="G11" s="1"/>
      <c r="H11" s="1"/>
      <c r="I11" s="1"/>
      <c r="J11" s="1"/>
      <c r="K11" s="1"/>
      <c r="L11" s="7"/>
      <c r="M11" s="1"/>
      <c r="N11" s="1"/>
      <c r="O11" s="1"/>
      <c r="P11" s="1"/>
      <c r="Q11" s="1"/>
      <c r="R11" s="1"/>
      <c r="S11" s="1"/>
      <c r="AK11" s="14"/>
      <c r="AL11" s="14"/>
    </row>
    <row r="12" spans="1:41" ht="16.5" thickBot="1" x14ac:dyDescent="0.4">
      <c r="A12" s="5" t="s">
        <v>13</v>
      </c>
      <c r="B12" s="3" t="s">
        <v>0</v>
      </c>
      <c r="C12" s="6">
        <v>0</v>
      </c>
      <c r="D12" s="1"/>
      <c r="E12" s="1"/>
      <c r="F12" s="1"/>
      <c r="G12" s="1"/>
      <c r="H12" s="1"/>
      <c r="I12" s="1"/>
      <c r="J12" s="1"/>
      <c r="K12" s="1"/>
      <c r="L12" s="7"/>
      <c r="M12" s="1"/>
      <c r="N12" s="1"/>
      <c r="O12" s="1"/>
      <c r="P12" s="1"/>
      <c r="Q12" s="1"/>
      <c r="R12" s="1"/>
      <c r="S12" s="1"/>
      <c r="AK12" s="14"/>
      <c r="AL12" s="14"/>
    </row>
    <row r="13" spans="1:41" ht="16.5" thickBot="1" x14ac:dyDescent="0.4">
      <c r="A13" s="5" t="s">
        <v>1</v>
      </c>
      <c r="B13" s="3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AK13" s="14"/>
      <c r="AL13" s="14"/>
    </row>
    <row r="14" spans="1:41" ht="16.5" thickBot="1" x14ac:dyDescent="0.4">
      <c r="A14" s="2" t="s">
        <v>2</v>
      </c>
      <c r="B14" s="3" t="s">
        <v>0</v>
      </c>
      <c r="C14" s="6">
        <v>0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AK14" s="14"/>
      <c r="AL14" s="14"/>
    </row>
    <row r="15" spans="1:41" ht="16.5" thickBot="1" x14ac:dyDescent="0.4">
      <c r="A15" s="2" t="s">
        <v>3</v>
      </c>
      <c r="B15" s="3" t="s">
        <v>4</v>
      </c>
      <c r="C15" s="8">
        <v>0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AK15" s="14"/>
      <c r="AL15" s="14"/>
      <c r="AN15" s="14"/>
      <c r="AO15" s="14"/>
    </row>
    <row r="16" spans="1:41" ht="16.5" thickBot="1" x14ac:dyDescent="0.4">
      <c r="A16" s="2" t="s">
        <v>5</v>
      </c>
      <c r="B16" s="3" t="s">
        <v>4</v>
      </c>
      <c r="C16" s="8">
        <v>0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AN16" s="14"/>
      <c r="AO16" s="14"/>
    </row>
    <row r="17" spans="1:41" ht="16" x14ac:dyDescent="0.35">
      <c r="A17" s="2"/>
      <c r="B17" s="3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AN17" s="14"/>
      <c r="AO17" s="14"/>
    </row>
    <row r="18" spans="1:41" x14ac:dyDescent="0.35">
      <c r="A18" s="2" t="s">
        <v>19</v>
      </c>
      <c r="B18" s="1" t="s">
        <v>20</v>
      </c>
      <c r="C18" s="9" t="s">
        <v>6</v>
      </c>
      <c r="D18" s="9">
        <v>2020</v>
      </c>
      <c r="E18" s="9">
        <v>2021</v>
      </c>
      <c r="F18" s="9">
        <v>2022</v>
      </c>
      <c r="G18" s="9">
        <v>2023</v>
      </c>
      <c r="H18" s="9">
        <v>2024</v>
      </c>
      <c r="I18" s="9">
        <v>2025</v>
      </c>
      <c r="J18" s="9">
        <v>2026</v>
      </c>
      <c r="K18" s="9">
        <v>2027</v>
      </c>
      <c r="L18" s="9">
        <v>2028</v>
      </c>
      <c r="M18" s="9">
        <v>2029</v>
      </c>
      <c r="N18" s="9">
        <v>2030</v>
      </c>
      <c r="O18" s="9">
        <v>2031</v>
      </c>
      <c r="P18" s="9">
        <v>2032</v>
      </c>
      <c r="Q18" s="9">
        <v>2033</v>
      </c>
      <c r="R18" s="9">
        <v>2034</v>
      </c>
      <c r="S18" s="9">
        <v>2035</v>
      </c>
      <c r="T18" s="9">
        <v>2036</v>
      </c>
      <c r="U18" s="9">
        <v>2037</v>
      </c>
      <c r="V18" s="9">
        <v>2038</v>
      </c>
      <c r="W18" s="9">
        <v>2039</v>
      </c>
      <c r="X18" s="9">
        <v>2040</v>
      </c>
      <c r="Y18" s="9">
        <v>2041</v>
      </c>
      <c r="Z18" s="9">
        <v>2042</v>
      </c>
      <c r="AA18" s="9">
        <v>2043</v>
      </c>
      <c r="AB18" s="9">
        <v>2044</v>
      </c>
      <c r="AC18" s="9">
        <v>2045</v>
      </c>
      <c r="AD18" s="9">
        <v>2046</v>
      </c>
      <c r="AE18" s="9">
        <v>2047</v>
      </c>
      <c r="AF18" s="9">
        <v>2048</v>
      </c>
      <c r="AG18" s="9">
        <v>2049</v>
      </c>
      <c r="AH18" s="9">
        <v>2050</v>
      </c>
      <c r="AN18" s="14"/>
      <c r="AO18" s="14"/>
    </row>
    <row r="19" spans="1:41" ht="16.5" thickBot="1" x14ac:dyDescent="0.4">
      <c r="A19" s="10" t="s">
        <v>7</v>
      </c>
      <c r="B19" s="1"/>
      <c r="C19" s="11" t="str">
        <f>IF('[1]CleanStep - JUSTACCESS - FFSS'!C27&gt;0,"ok","increase debt")</f>
        <v>ok</v>
      </c>
      <c r="D19" s="11" t="str">
        <f>IF('[1]CleanStep - JUSTACCESS - FFSS'!B27&gt;0,"ok","increase debt")</f>
        <v>ok</v>
      </c>
      <c r="E19" s="11" t="str">
        <f>IF('[1]CleanStep - JUSTACCESS - FFSS'!B27&gt;0,"ok","increase debt")</f>
        <v>ok</v>
      </c>
      <c r="F19" s="11" t="str">
        <f>IF('[1]CleanStep - JUSTACCESS - FFSS'!B27&gt;0,"ok","increase debt")</f>
        <v>ok</v>
      </c>
      <c r="G19" s="11" t="str">
        <f>IF('[1]CleanStep - JUSTACCESS - FFSS'!C27&gt;0,"ok","increase debt")</f>
        <v>ok</v>
      </c>
      <c r="H19" s="11" t="str">
        <f>IF('[1]CleanStep - JUSTACCESS - FFSS'!D27&gt;0,"ok","increase debt")</f>
        <v>increase debt</v>
      </c>
      <c r="I19" s="11" t="str">
        <f>IF('[1]CleanStep - JUSTACCESS - FFSS'!E27&gt;0,"ok","increase debt")</f>
        <v>increase debt</v>
      </c>
      <c r="J19" s="11" t="str">
        <f>IF('[1]CleanStep - JUSTACCESS - FFSS'!F27&gt;0,"ok","increase debt")</f>
        <v>increase debt</v>
      </c>
      <c r="K19" s="11" t="str">
        <f>IF('[1]CleanStep - JUSTACCESS - FFSS'!G27&gt;0,"ok","increase debt")</f>
        <v>increase debt</v>
      </c>
      <c r="L19" s="11" t="str">
        <f>IF('[1]CleanStep - JUSTACCESS - FFSS'!H27&gt;0,"ok","increase debt")</f>
        <v>increase debt</v>
      </c>
      <c r="M19" s="11" t="str">
        <f>IF('[1]CleanStep - JUSTACCESS - FFSS'!I27&gt;0,"ok","increase debt")</f>
        <v>increase debt</v>
      </c>
      <c r="N19" s="11" t="str">
        <f>IF('[1]CleanStep - JUSTACCESS - FFSS'!J27&gt;0,"ok","increase debt")</f>
        <v>increase debt</v>
      </c>
      <c r="O19" s="11" t="str">
        <f>IF('[1]CleanStep - JUSTACCESS - FFSS'!K27&gt;0,"ok","increase debt")</f>
        <v>increase debt</v>
      </c>
      <c r="P19" s="11" t="str">
        <f>IF('[1]CleanStep - JUSTACCESS - FFSS'!L27&gt;0,"ok","increase debt")</f>
        <v>increase debt</v>
      </c>
      <c r="Q19" s="11" t="str">
        <f>IF('[1]CleanStep - JUSTACCESS - FFSS'!M27&gt;0,"ok","increase debt")</f>
        <v>increase debt</v>
      </c>
      <c r="R19" s="11" t="str">
        <f>IF('[1]CleanStep - JUSTACCESS - FFSS'!N27&gt;0,"ok","increase debt")</f>
        <v>increase debt</v>
      </c>
      <c r="S19" s="11" t="str">
        <f>IF('[1]CleanStep - JUSTACCESS - FFSS'!O27&gt;0,"ok","increase debt")</f>
        <v>increase debt</v>
      </c>
      <c r="T19" s="11" t="str">
        <f>IF('[1]CleanStep - JUSTACCESS - FFSS'!P27&gt;0,"ok","increase debt")</f>
        <v>increase debt</v>
      </c>
      <c r="U19" s="11" t="str">
        <f>IF('[1]CleanStep - JUSTACCESS - FFSS'!Q27&gt;0,"ok","increase debt")</f>
        <v>increase debt</v>
      </c>
      <c r="V19" s="11" t="str">
        <f>IF('[1]CleanStep - JUSTACCESS - FFSS'!R27&gt;0,"ok","increase debt")</f>
        <v>increase debt</v>
      </c>
      <c r="W19" s="11" t="str">
        <f>IF('[1]CleanStep - JUSTACCESS - FFSS'!S27&gt;0,"ok","increase debt")</f>
        <v>increase debt</v>
      </c>
      <c r="X19" s="11" t="str">
        <f>IF('[1]CleanStep - JUSTACCESS - FFSS'!T27&gt;0,"ok","increase debt")</f>
        <v>increase debt</v>
      </c>
      <c r="Y19" s="11" t="str">
        <f>IF('[1]CleanStep - JUSTACCESS - FFSS'!U27&gt;0,"ok","increase debt")</f>
        <v>increase debt</v>
      </c>
      <c r="Z19" s="11" t="str">
        <f>IF('[1]CleanStep - JUSTACCESS - FFSS'!V27&gt;0,"ok","increase debt")</f>
        <v>increase debt</v>
      </c>
      <c r="AA19" s="11" t="str">
        <f>IF('[1]CleanStep - JUSTACCESS - FFSS'!W27&gt;0,"ok","increase debt")</f>
        <v>increase debt</v>
      </c>
      <c r="AB19" s="11" t="str">
        <f>IF('[1]CleanStep - JUSTACCESS - FFSS'!X27&gt;0,"ok","increase debt")</f>
        <v>increase debt</v>
      </c>
      <c r="AC19" s="11" t="str">
        <f>IF('[1]CleanStep - JUSTACCESS - FFSS'!Y27&gt;0,"ok","increase debt")</f>
        <v>increase debt</v>
      </c>
      <c r="AD19" s="11" t="str">
        <f>IF('[1]CleanStep - JUSTACCESS - FFSS'!Z27&gt;0,"ok","increase debt")</f>
        <v>increase debt</v>
      </c>
      <c r="AE19" s="11" t="str">
        <f>IF('[1]CleanStep - JUSTACCESS - FFSS'!AA27&gt;0,"ok","increase debt")</f>
        <v>increase debt</v>
      </c>
      <c r="AF19" s="11" t="str">
        <f>IF('[1]CleanStep - JUSTACCESS - FFSS'!AB27&gt;0,"ok","increase debt")</f>
        <v>increase debt</v>
      </c>
      <c r="AG19" s="11" t="str">
        <f>IF('[1]CleanStep - JUSTACCESS - FFSS'!AC27&gt;0,"ok","increase debt")</f>
        <v>increase debt</v>
      </c>
      <c r="AH19" s="11" t="str">
        <f>IF('[1]CleanStep - JUSTACCESS - FFSS'!AD27&gt;0,"ok","increase debt")</f>
        <v>increase debt</v>
      </c>
      <c r="AN19" s="14"/>
      <c r="AO19" s="14"/>
    </row>
    <row r="20" spans="1:41" ht="17" thickTop="1" thickBot="1" x14ac:dyDescent="0.4">
      <c r="A20" s="12" t="s">
        <v>18</v>
      </c>
      <c r="B20" s="3" t="s">
        <v>9</v>
      </c>
      <c r="C20" s="16">
        <v>0</v>
      </c>
      <c r="D20" s="16">
        <v>0</v>
      </c>
      <c r="E20" s="16">
        <v>0</v>
      </c>
      <c r="F20" s="16">
        <v>0</v>
      </c>
      <c r="G20" s="16">
        <v>0</v>
      </c>
      <c r="H20" s="16">
        <v>0</v>
      </c>
      <c r="I20" s="16">
        <v>0</v>
      </c>
      <c r="J20" s="16">
        <v>0</v>
      </c>
      <c r="K20" s="16">
        <v>0</v>
      </c>
      <c r="L20" s="16">
        <v>0</v>
      </c>
      <c r="M20" s="16">
        <v>0</v>
      </c>
      <c r="N20" s="16">
        <v>0</v>
      </c>
      <c r="O20" s="16">
        <v>0</v>
      </c>
      <c r="P20" s="16">
        <v>0</v>
      </c>
      <c r="Q20" s="16">
        <v>0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6">
        <v>0</v>
      </c>
      <c r="X20" s="16">
        <v>0</v>
      </c>
      <c r="Y20" s="16">
        <v>0</v>
      </c>
      <c r="Z20" s="16">
        <v>0</v>
      </c>
      <c r="AA20" s="16">
        <v>0</v>
      </c>
      <c r="AB20" s="16">
        <v>0</v>
      </c>
      <c r="AC20" s="16">
        <v>0</v>
      </c>
      <c r="AD20" s="16">
        <v>0</v>
      </c>
      <c r="AE20" s="16">
        <v>0</v>
      </c>
      <c r="AF20" s="16">
        <v>0</v>
      </c>
      <c r="AG20" s="16">
        <v>0</v>
      </c>
      <c r="AH20" s="16">
        <v>0</v>
      </c>
      <c r="AK20" s="14"/>
      <c r="AL20" s="14"/>
      <c r="AN20" s="14"/>
      <c r="AO20" s="14"/>
    </row>
    <row r="21" spans="1:41" ht="16.5" thickBot="1" x14ac:dyDescent="0.4">
      <c r="A21" s="10" t="s">
        <v>8</v>
      </c>
      <c r="B21" s="3" t="s">
        <v>9</v>
      </c>
      <c r="C21" s="13">
        <v>0</v>
      </c>
      <c r="D21" s="13">
        <v>0</v>
      </c>
      <c r="E21" s="13">
        <v>0</v>
      </c>
      <c r="F21" s="13">
        <v>0</v>
      </c>
      <c r="G21" s="13">
        <v>0</v>
      </c>
      <c r="H21" s="13">
        <v>0</v>
      </c>
      <c r="I21" s="13">
        <v>0</v>
      </c>
      <c r="J21" s="13">
        <v>0</v>
      </c>
      <c r="K21" s="13">
        <v>0</v>
      </c>
      <c r="L21" s="13">
        <v>0</v>
      </c>
      <c r="M21" s="13">
        <v>0</v>
      </c>
      <c r="N21" s="13">
        <v>0</v>
      </c>
      <c r="O21" s="13">
        <v>0</v>
      </c>
      <c r="P21" s="13">
        <v>0</v>
      </c>
      <c r="Q21" s="13">
        <v>0</v>
      </c>
      <c r="R21" s="13">
        <v>0</v>
      </c>
      <c r="S21" s="13">
        <v>0</v>
      </c>
      <c r="T21" s="13">
        <v>0</v>
      </c>
      <c r="U21" s="13">
        <v>0</v>
      </c>
      <c r="V21" s="13">
        <v>0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  <c r="AD21" s="13">
        <v>0</v>
      </c>
      <c r="AE21" s="13">
        <v>0</v>
      </c>
      <c r="AF21" s="13">
        <v>0</v>
      </c>
      <c r="AG21" s="13">
        <v>0</v>
      </c>
      <c r="AH21" s="13">
        <v>0</v>
      </c>
      <c r="AK21" s="14"/>
      <c r="AL21" s="14"/>
      <c r="AN21" s="14"/>
      <c r="AO21" s="14"/>
    </row>
    <row r="22" spans="1:41" x14ac:dyDescent="0.35">
      <c r="AK22" s="14"/>
      <c r="AL22" s="14"/>
      <c r="AN22" s="14"/>
      <c r="AO22" s="14"/>
    </row>
    <row r="23" spans="1:41" x14ac:dyDescent="0.35">
      <c r="AK23" s="14"/>
      <c r="AL23" s="14"/>
      <c r="AN23" s="14"/>
      <c r="AO23" s="14"/>
    </row>
    <row r="24" spans="1:41" x14ac:dyDescent="0.35">
      <c r="AK24" s="14"/>
      <c r="AL24" s="14"/>
    </row>
    <row r="25" spans="1:41" x14ac:dyDescent="0.35">
      <c r="AK25" s="14"/>
      <c r="AL25" s="14"/>
    </row>
    <row r="26" spans="1:41" x14ac:dyDescent="0.35">
      <c r="AK26" s="14"/>
      <c r="AL26" s="14"/>
    </row>
    <row r="27" spans="1:41" x14ac:dyDescent="0.35">
      <c r="AK27" s="14"/>
      <c r="AL27" s="14"/>
    </row>
    <row r="28" spans="1:41" x14ac:dyDescent="0.35">
      <c r="AK28" s="14"/>
      <c r="AL28" s="14"/>
    </row>
  </sheetData>
  <conditionalFormatting sqref="A19:AH19">
    <cfRule type="cellIs" dxfId="11" priority="1" operator="equal">
      <formula>"increase debt"</formula>
    </cfRule>
    <cfRule type="cellIs" dxfId="10" priority="2" operator="equal">
      <formula>"ok"</formula>
    </cfRule>
  </conditionalFormatting>
  <conditionalFormatting sqref="D14:AK14">
    <cfRule type="cellIs" dxfId="9" priority="3" operator="equal">
      <formula>"increase debt"</formula>
    </cfRule>
    <cfRule type="cellIs" dxfId="8" priority="4" operator="equal">
      <formula>"ok"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4003D-BBE9-46A5-976B-0C15632AF571}">
  <sheetPr codeName="Hoja1"/>
  <dimension ref="A1:AL27"/>
  <sheetViews>
    <sheetView tabSelected="1" zoomScale="82" workbookViewId="0">
      <selection activeCell="C3" sqref="C3"/>
    </sheetView>
  </sheetViews>
  <sheetFormatPr baseColWidth="10" defaultRowHeight="14.5" x14ac:dyDescent="0.35"/>
  <cols>
    <col min="1" max="1" width="30.6328125" customWidth="1"/>
    <col min="3" max="3" width="71.6328125" customWidth="1"/>
  </cols>
  <sheetData>
    <row r="1" spans="1:38" x14ac:dyDescent="0.35">
      <c r="A1" t="s">
        <v>14</v>
      </c>
      <c r="B1" t="s">
        <v>20</v>
      </c>
      <c r="C1" t="s">
        <v>15</v>
      </c>
    </row>
    <row r="2" spans="1:38" ht="16" x14ac:dyDescent="0.35">
      <c r="A2" s="2" t="s">
        <v>10</v>
      </c>
      <c r="B2" s="3" t="s">
        <v>9</v>
      </c>
      <c r="C2" s="1">
        <v>0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38" ht="16" x14ac:dyDescent="0.35">
      <c r="A3" s="2" t="s">
        <v>11</v>
      </c>
      <c r="B3" s="3" t="s">
        <v>9</v>
      </c>
      <c r="C3" s="1">
        <v>0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38" ht="16" x14ac:dyDescent="0.35">
      <c r="A4" s="2"/>
      <c r="B4" s="2"/>
      <c r="C4" s="3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38" x14ac:dyDescent="0.35">
      <c r="A5" s="2" t="s">
        <v>16</v>
      </c>
      <c r="B5" t="s">
        <v>20</v>
      </c>
      <c r="C5" s="2" t="s">
        <v>15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38" ht="16" x14ac:dyDescent="0.35">
      <c r="A6" s="4" t="s">
        <v>21</v>
      </c>
      <c r="B6" s="4" t="s">
        <v>9</v>
      </c>
      <c r="C6" s="15">
        <v>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7"/>
      <c r="P6" s="1"/>
      <c r="Q6" s="1"/>
      <c r="R6" s="1"/>
      <c r="S6" s="1"/>
      <c r="T6" s="1"/>
      <c r="U6" s="1"/>
      <c r="V6" s="1"/>
    </row>
    <row r="7" spans="1:38" ht="16" x14ac:dyDescent="0.35">
      <c r="A7" s="4" t="s">
        <v>22</v>
      </c>
      <c r="B7" s="4" t="s">
        <v>9</v>
      </c>
      <c r="C7" s="15">
        <v>0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7"/>
      <c r="P7" s="1"/>
      <c r="Q7" s="1"/>
      <c r="R7" s="1"/>
      <c r="S7" s="1"/>
      <c r="T7" s="1"/>
      <c r="U7" s="1"/>
      <c r="V7" s="1"/>
    </row>
    <row r="8" spans="1:38" ht="16" x14ac:dyDescent="0.35">
      <c r="A8" s="4" t="s">
        <v>23</v>
      </c>
      <c r="B8" s="4" t="s">
        <v>9</v>
      </c>
      <c r="C8" s="15">
        <v>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38" x14ac:dyDescent="0.3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38" ht="15" thickBot="1" x14ac:dyDescent="0.4">
      <c r="A10" s="1" t="s">
        <v>17</v>
      </c>
      <c r="B10" s="1" t="s">
        <v>20</v>
      </c>
      <c r="C10" s="1" t="s">
        <v>15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AK10" s="14"/>
      <c r="AL10" s="14"/>
    </row>
    <row r="11" spans="1:38" ht="16.5" thickBot="1" x14ac:dyDescent="0.4">
      <c r="A11" s="5" t="s">
        <v>12</v>
      </c>
      <c r="B11" s="3" t="s">
        <v>0</v>
      </c>
      <c r="C11" s="6">
        <v>0</v>
      </c>
      <c r="E11" s="1"/>
      <c r="F11" s="1"/>
      <c r="G11" s="1"/>
      <c r="H11" s="1"/>
      <c r="I11" s="1"/>
      <c r="J11" s="1"/>
      <c r="K11" s="1"/>
      <c r="L11" s="7"/>
      <c r="M11" s="1"/>
      <c r="N11" s="1"/>
      <c r="O11" s="1"/>
      <c r="P11" s="1"/>
      <c r="Q11" s="1"/>
      <c r="R11" s="1"/>
      <c r="S11" s="1"/>
      <c r="AK11" s="14"/>
      <c r="AL11" s="14"/>
    </row>
    <row r="12" spans="1:38" ht="16.5" thickBot="1" x14ac:dyDescent="0.4">
      <c r="A12" s="5" t="s">
        <v>13</v>
      </c>
      <c r="B12" s="3" t="s">
        <v>0</v>
      </c>
      <c r="C12" s="6">
        <v>0</v>
      </c>
      <c r="D12" s="1"/>
      <c r="E12" s="1"/>
      <c r="F12" s="1"/>
      <c r="G12" s="1"/>
      <c r="H12" s="1"/>
      <c r="I12" s="1"/>
      <c r="J12" s="1"/>
      <c r="K12" s="1"/>
      <c r="L12" s="7"/>
      <c r="M12" s="1"/>
      <c r="N12" s="1"/>
      <c r="O12" s="1"/>
      <c r="P12" s="1"/>
      <c r="Q12" s="1"/>
      <c r="R12" s="1"/>
      <c r="S12" s="1"/>
      <c r="AK12" s="14"/>
      <c r="AL12" s="14"/>
    </row>
    <row r="13" spans="1:38" ht="16.5" thickBot="1" x14ac:dyDescent="0.4">
      <c r="A13" s="5" t="s">
        <v>1</v>
      </c>
      <c r="B13" s="3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AK13" s="14"/>
      <c r="AL13" s="14"/>
    </row>
    <row r="14" spans="1:38" ht="16.5" thickBot="1" x14ac:dyDescent="0.4">
      <c r="A14" s="2" t="s">
        <v>2</v>
      </c>
      <c r="B14" s="3" t="s">
        <v>0</v>
      </c>
      <c r="C14" s="6">
        <v>0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AK14" s="14"/>
      <c r="AL14" s="14"/>
    </row>
    <row r="15" spans="1:38" ht="16.5" thickBot="1" x14ac:dyDescent="0.4">
      <c r="A15" s="2" t="s">
        <v>3</v>
      </c>
      <c r="B15" s="3" t="s">
        <v>4</v>
      </c>
      <c r="C15" s="8">
        <v>0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AK15" s="14"/>
      <c r="AL15" s="14"/>
    </row>
    <row r="16" spans="1:38" ht="16.5" thickBot="1" x14ac:dyDescent="0.4">
      <c r="A16" s="2" t="s">
        <v>5</v>
      </c>
      <c r="B16" s="3" t="s">
        <v>4</v>
      </c>
      <c r="C16" s="8">
        <v>0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38" ht="16" x14ac:dyDescent="0.35">
      <c r="A17" s="2"/>
      <c r="B17" s="3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38" x14ac:dyDescent="0.35">
      <c r="A18" s="2" t="s">
        <v>19</v>
      </c>
      <c r="B18" s="1" t="s">
        <v>20</v>
      </c>
      <c r="C18" s="9" t="s">
        <v>6</v>
      </c>
      <c r="D18" s="9">
        <v>2020</v>
      </c>
      <c r="E18" s="9">
        <v>2021</v>
      </c>
      <c r="F18" s="9">
        <v>2022</v>
      </c>
      <c r="G18" s="9">
        <v>2023</v>
      </c>
      <c r="H18" s="9">
        <v>2024</v>
      </c>
      <c r="I18" s="9">
        <v>2025</v>
      </c>
      <c r="J18" s="9">
        <v>2026</v>
      </c>
      <c r="K18" s="9">
        <v>2027</v>
      </c>
      <c r="L18" s="9">
        <v>2028</v>
      </c>
      <c r="M18" s="9">
        <v>2029</v>
      </c>
      <c r="N18" s="9">
        <v>2030</v>
      </c>
      <c r="O18" s="9">
        <v>2031</v>
      </c>
      <c r="P18" s="9">
        <v>2032</v>
      </c>
      <c r="Q18" s="9">
        <v>2033</v>
      </c>
      <c r="R18" s="9">
        <v>2034</v>
      </c>
      <c r="S18" s="9">
        <v>2035</v>
      </c>
      <c r="T18" s="9">
        <v>2036</v>
      </c>
      <c r="U18" s="9">
        <v>2037</v>
      </c>
      <c r="V18" s="9">
        <v>2038</v>
      </c>
      <c r="W18" s="9">
        <v>2039</v>
      </c>
      <c r="X18" s="9">
        <v>2040</v>
      </c>
      <c r="Y18" s="9">
        <v>2041</v>
      </c>
      <c r="Z18" s="9">
        <v>2042</v>
      </c>
      <c r="AA18" s="9">
        <v>2043</v>
      </c>
      <c r="AB18" s="9">
        <v>2044</v>
      </c>
      <c r="AC18" s="9">
        <v>2045</v>
      </c>
      <c r="AD18" s="9">
        <v>2046</v>
      </c>
      <c r="AE18" s="9">
        <v>2047</v>
      </c>
      <c r="AF18" s="9">
        <v>2048</v>
      </c>
      <c r="AG18" s="9">
        <v>2049</v>
      </c>
      <c r="AH18" s="9">
        <v>2050</v>
      </c>
    </row>
    <row r="19" spans="1:38" ht="16.5" thickBot="1" x14ac:dyDescent="0.4">
      <c r="A19" s="10" t="s">
        <v>7</v>
      </c>
      <c r="B19" s="1"/>
      <c r="C19" s="11" t="str">
        <f>IF('[1]CleanStep - JUSTACCESS - FFSS'!C27&gt;0,"ok","increase debt")</f>
        <v>ok</v>
      </c>
      <c r="D19" s="11" t="str">
        <f>IF('[1]CleanStep - JUSTACCESS - FFSS'!B27&gt;0,"ok","increase debt")</f>
        <v>ok</v>
      </c>
      <c r="E19" s="11" t="str">
        <f>IF('[1]CleanStep - JUSTACCESS - FFSS'!B27&gt;0,"ok","increase debt")</f>
        <v>ok</v>
      </c>
      <c r="F19" s="11" t="str">
        <f>IF('[1]CleanStep - JUSTACCESS - FFSS'!B27&gt;0,"ok","increase debt")</f>
        <v>ok</v>
      </c>
      <c r="G19" s="11" t="str">
        <f>IF('[1]CleanStep - JUSTACCESS - FFSS'!C27&gt;0,"ok","increase debt")</f>
        <v>ok</v>
      </c>
      <c r="H19" s="11" t="str">
        <f>IF('[1]CleanStep - JUSTACCESS - FFSS'!D27&gt;0,"ok","increase debt")</f>
        <v>increase debt</v>
      </c>
      <c r="I19" s="11" t="str">
        <f>IF('[1]CleanStep - JUSTACCESS - FFSS'!E27&gt;0,"ok","increase debt")</f>
        <v>increase debt</v>
      </c>
      <c r="J19" s="11" t="str">
        <f>IF('[1]CleanStep - JUSTACCESS - FFSS'!F27&gt;0,"ok","increase debt")</f>
        <v>increase debt</v>
      </c>
      <c r="K19" s="11" t="str">
        <f>IF('[1]CleanStep - JUSTACCESS - FFSS'!G27&gt;0,"ok","increase debt")</f>
        <v>increase debt</v>
      </c>
      <c r="L19" s="11" t="str">
        <f>IF('[1]CleanStep - JUSTACCESS - FFSS'!H27&gt;0,"ok","increase debt")</f>
        <v>increase debt</v>
      </c>
      <c r="M19" s="11" t="str">
        <f>IF('[1]CleanStep - JUSTACCESS - FFSS'!I27&gt;0,"ok","increase debt")</f>
        <v>increase debt</v>
      </c>
      <c r="N19" s="11" t="str">
        <f>IF('[1]CleanStep - JUSTACCESS - FFSS'!J27&gt;0,"ok","increase debt")</f>
        <v>increase debt</v>
      </c>
      <c r="O19" s="11" t="str">
        <f>IF('[1]CleanStep - JUSTACCESS - FFSS'!K27&gt;0,"ok","increase debt")</f>
        <v>increase debt</v>
      </c>
      <c r="P19" s="11" t="str">
        <f>IF('[1]CleanStep - JUSTACCESS - FFSS'!L27&gt;0,"ok","increase debt")</f>
        <v>increase debt</v>
      </c>
      <c r="Q19" s="11" t="str">
        <f>IF('[1]CleanStep - JUSTACCESS - FFSS'!M27&gt;0,"ok","increase debt")</f>
        <v>increase debt</v>
      </c>
      <c r="R19" s="11" t="str">
        <f>IF('[1]CleanStep - JUSTACCESS - FFSS'!N27&gt;0,"ok","increase debt")</f>
        <v>increase debt</v>
      </c>
      <c r="S19" s="11" t="str">
        <f>IF('[1]CleanStep - JUSTACCESS - FFSS'!O27&gt;0,"ok","increase debt")</f>
        <v>increase debt</v>
      </c>
      <c r="T19" s="11" t="str">
        <f>IF('[1]CleanStep - JUSTACCESS - FFSS'!P27&gt;0,"ok","increase debt")</f>
        <v>increase debt</v>
      </c>
      <c r="U19" s="11" t="str">
        <f>IF('[1]CleanStep - JUSTACCESS - FFSS'!Q27&gt;0,"ok","increase debt")</f>
        <v>increase debt</v>
      </c>
      <c r="V19" s="11" t="str">
        <f>IF('[1]CleanStep - JUSTACCESS - FFSS'!R27&gt;0,"ok","increase debt")</f>
        <v>increase debt</v>
      </c>
      <c r="W19" s="11" t="str">
        <f>IF('[1]CleanStep - JUSTACCESS - FFSS'!S27&gt;0,"ok","increase debt")</f>
        <v>increase debt</v>
      </c>
      <c r="X19" s="11" t="str">
        <f>IF('[1]CleanStep - JUSTACCESS - FFSS'!T27&gt;0,"ok","increase debt")</f>
        <v>increase debt</v>
      </c>
      <c r="Y19" s="11" t="str">
        <f>IF('[1]CleanStep - JUSTACCESS - FFSS'!U27&gt;0,"ok","increase debt")</f>
        <v>increase debt</v>
      </c>
      <c r="Z19" s="11" t="str">
        <f>IF('[1]CleanStep - JUSTACCESS - FFSS'!V27&gt;0,"ok","increase debt")</f>
        <v>increase debt</v>
      </c>
      <c r="AA19" s="11" t="str">
        <f>IF('[1]CleanStep - JUSTACCESS - FFSS'!W27&gt;0,"ok","increase debt")</f>
        <v>increase debt</v>
      </c>
      <c r="AB19" s="11" t="str">
        <f>IF('[1]CleanStep - JUSTACCESS - FFSS'!X27&gt;0,"ok","increase debt")</f>
        <v>increase debt</v>
      </c>
      <c r="AC19" s="11" t="str">
        <f>IF('[1]CleanStep - JUSTACCESS - FFSS'!Y27&gt;0,"ok","increase debt")</f>
        <v>increase debt</v>
      </c>
      <c r="AD19" s="11" t="str">
        <f>IF('[1]CleanStep - JUSTACCESS - FFSS'!Z27&gt;0,"ok","increase debt")</f>
        <v>increase debt</v>
      </c>
      <c r="AE19" s="11" t="str">
        <f>IF('[1]CleanStep - JUSTACCESS - FFSS'!AA27&gt;0,"ok","increase debt")</f>
        <v>increase debt</v>
      </c>
      <c r="AF19" s="11" t="str">
        <f>IF('[1]CleanStep - JUSTACCESS - FFSS'!AB27&gt;0,"ok","increase debt")</f>
        <v>increase debt</v>
      </c>
      <c r="AG19" s="11" t="str">
        <f>IF('[1]CleanStep - JUSTACCESS - FFSS'!AC27&gt;0,"ok","increase debt")</f>
        <v>increase debt</v>
      </c>
      <c r="AH19" s="11" t="str">
        <f>IF('[1]CleanStep - JUSTACCESS - FFSS'!AD27&gt;0,"ok","increase debt")</f>
        <v>increase debt</v>
      </c>
    </row>
    <row r="20" spans="1:38" ht="17" thickTop="1" thickBot="1" x14ac:dyDescent="0.4">
      <c r="A20" s="12" t="s">
        <v>18</v>
      </c>
      <c r="B20" s="3" t="s">
        <v>9</v>
      </c>
      <c r="C20" s="16">
        <v>0</v>
      </c>
      <c r="D20" s="16">
        <v>0</v>
      </c>
      <c r="E20" s="16">
        <v>0</v>
      </c>
      <c r="F20" s="16">
        <v>0</v>
      </c>
      <c r="G20" s="16">
        <v>0</v>
      </c>
      <c r="H20" s="16">
        <v>0</v>
      </c>
      <c r="I20" s="16">
        <v>0</v>
      </c>
      <c r="J20" s="16">
        <v>0</v>
      </c>
      <c r="K20" s="16">
        <v>0</v>
      </c>
      <c r="L20" s="16">
        <v>0</v>
      </c>
      <c r="M20" s="16">
        <v>0</v>
      </c>
      <c r="N20" s="16">
        <v>0</v>
      </c>
      <c r="O20" s="16">
        <v>0</v>
      </c>
      <c r="P20" s="16">
        <v>0</v>
      </c>
      <c r="Q20" s="16">
        <v>0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6">
        <v>0</v>
      </c>
      <c r="X20" s="16">
        <v>0</v>
      </c>
      <c r="Y20" s="16">
        <v>0</v>
      </c>
      <c r="Z20" s="16">
        <v>0</v>
      </c>
      <c r="AA20" s="16">
        <v>0</v>
      </c>
      <c r="AB20" s="16">
        <v>0</v>
      </c>
      <c r="AC20" s="16">
        <v>0</v>
      </c>
      <c r="AD20" s="16">
        <v>0</v>
      </c>
      <c r="AE20" s="16">
        <v>0</v>
      </c>
      <c r="AF20" s="16">
        <v>0</v>
      </c>
      <c r="AG20" s="16">
        <v>0</v>
      </c>
      <c r="AH20" s="16">
        <v>0</v>
      </c>
      <c r="AK20" s="14"/>
      <c r="AL20" s="14"/>
    </row>
    <row r="21" spans="1:38" ht="16.5" thickBot="1" x14ac:dyDescent="0.4">
      <c r="A21" s="10" t="s">
        <v>8</v>
      </c>
      <c r="B21" s="3" t="s">
        <v>9</v>
      </c>
      <c r="C21" s="13">
        <v>0</v>
      </c>
      <c r="D21" s="13">
        <v>0</v>
      </c>
      <c r="E21" s="13">
        <v>0</v>
      </c>
      <c r="F21" s="13">
        <v>0</v>
      </c>
      <c r="G21" s="13">
        <v>0</v>
      </c>
      <c r="H21" s="13">
        <v>0</v>
      </c>
      <c r="I21" s="13">
        <v>0</v>
      </c>
      <c r="J21" s="13">
        <v>0</v>
      </c>
      <c r="K21" s="13">
        <v>0</v>
      </c>
      <c r="L21" s="13">
        <v>0</v>
      </c>
      <c r="M21" s="13">
        <v>0</v>
      </c>
      <c r="N21" s="13">
        <v>0</v>
      </c>
      <c r="O21" s="13">
        <v>0</v>
      </c>
      <c r="P21" s="13">
        <v>0</v>
      </c>
      <c r="Q21" s="13">
        <v>0</v>
      </c>
      <c r="R21" s="13">
        <v>0</v>
      </c>
      <c r="S21" s="13">
        <v>0</v>
      </c>
      <c r="T21" s="13">
        <v>0</v>
      </c>
      <c r="U21" s="13">
        <v>0</v>
      </c>
      <c r="V21" s="13">
        <v>0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  <c r="AD21" s="13">
        <v>0</v>
      </c>
      <c r="AE21" s="13">
        <v>0</v>
      </c>
      <c r="AF21" s="13">
        <v>0</v>
      </c>
      <c r="AG21" s="13">
        <v>0</v>
      </c>
      <c r="AH21" s="13">
        <v>0</v>
      </c>
      <c r="AK21" s="14"/>
      <c r="AL21" s="14"/>
    </row>
    <row r="22" spans="1:38" x14ac:dyDescent="0.35">
      <c r="AK22" s="14"/>
      <c r="AL22" s="14"/>
    </row>
    <row r="23" spans="1:38" x14ac:dyDescent="0.35">
      <c r="AK23" s="14"/>
      <c r="AL23" s="14"/>
    </row>
    <row r="24" spans="1:38" x14ac:dyDescent="0.35">
      <c r="AK24" s="14"/>
      <c r="AL24" s="14"/>
    </row>
    <row r="25" spans="1:38" x14ac:dyDescent="0.35">
      <c r="AK25" s="14"/>
      <c r="AL25" s="14"/>
    </row>
    <row r="26" spans="1:38" x14ac:dyDescent="0.35">
      <c r="AK26" s="14"/>
      <c r="AL26" s="14"/>
    </row>
    <row r="27" spans="1:38" x14ac:dyDescent="0.35">
      <c r="AK27" s="14"/>
      <c r="AL27" s="14"/>
    </row>
  </sheetData>
  <conditionalFormatting sqref="A19:AH19">
    <cfRule type="cellIs" dxfId="7" priority="1" operator="equal">
      <formula>"increase debt"</formula>
    </cfRule>
    <cfRule type="cellIs" dxfId="6" priority="2" operator="equal">
      <formula>"ok"</formula>
    </cfRule>
  </conditionalFormatting>
  <conditionalFormatting sqref="D14:AK14">
    <cfRule type="cellIs" dxfId="5" priority="3" operator="equal">
      <formula>"increase debt"</formula>
    </cfRule>
    <cfRule type="cellIs" dxfId="4" priority="4" operator="equal">
      <formula>"ok"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3DA0E-602E-4263-A988-9246800451B4}">
  <sheetPr codeName="Hoja3"/>
  <dimension ref="A1:AL27"/>
  <sheetViews>
    <sheetView zoomScale="83" workbookViewId="0">
      <selection activeCell="A11" sqref="A11"/>
    </sheetView>
  </sheetViews>
  <sheetFormatPr baseColWidth="10" defaultRowHeight="14.5" x14ac:dyDescent="0.35"/>
  <cols>
    <col min="1" max="1" width="39.36328125" customWidth="1"/>
    <col min="3" max="3" width="24.6328125" customWidth="1"/>
  </cols>
  <sheetData>
    <row r="1" spans="1:38" x14ac:dyDescent="0.35">
      <c r="A1" t="s">
        <v>14</v>
      </c>
      <c r="B1" t="s">
        <v>20</v>
      </c>
      <c r="C1" t="s">
        <v>15</v>
      </c>
    </row>
    <row r="2" spans="1:38" ht="16" x14ac:dyDescent="0.35">
      <c r="A2" s="2" t="s">
        <v>10</v>
      </c>
      <c r="B2" s="3" t="s">
        <v>9</v>
      </c>
      <c r="C2" s="1">
        <v>0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38" ht="16" x14ac:dyDescent="0.35">
      <c r="A3" s="2" t="s">
        <v>11</v>
      </c>
      <c r="B3" s="3" t="s">
        <v>9</v>
      </c>
      <c r="C3" s="1">
        <v>0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38" ht="16" x14ac:dyDescent="0.35">
      <c r="A4" s="2"/>
      <c r="B4" s="2"/>
      <c r="C4" s="3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38" x14ac:dyDescent="0.35">
      <c r="A5" s="2" t="s">
        <v>16</v>
      </c>
      <c r="B5" t="s">
        <v>20</v>
      </c>
      <c r="C5" s="2" t="s">
        <v>15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38" ht="16" x14ac:dyDescent="0.35">
      <c r="A6" s="4" t="s">
        <v>21</v>
      </c>
      <c r="B6" s="4" t="s">
        <v>9</v>
      </c>
      <c r="C6" s="15">
        <v>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7"/>
      <c r="P6" s="1"/>
      <c r="Q6" s="1"/>
      <c r="R6" s="1"/>
      <c r="S6" s="1"/>
      <c r="T6" s="1"/>
      <c r="U6" s="1"/>
      <c r="V6" s="1"/>
    </row>
    <row r="7" spans="1:38" ht="16" x14ac:dyDescent="0.35">
      <c r="A7" s="4" t="s">
        <v>22</v>
      </c>
      <c r="B7" s="4" t="s">
        <v>9</v>
      </c>
      <c r="C7" s="15">
        <v>0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7"/>
      <c r="P7" s="1"/>
      <c r="Q7" s="1"/>
      <c r="R7" s="1"/>
      <c r="S7" s="1"/>
      <c r="T7" s="1"/>
      <c r="U7" s="1"/>
      <c r="V7" s="1"/>
    </row>
    <row r="8" spans="1:38" ht="16" x14ac:dyDescent="0.35">
      <c r="A8" s="4" t="s">
        <v>23</v>
      </c>
      <c r="B8" s="4" t="s">
        <v>9</v>
      </c>
      <c r="C8" s="15">
        <v>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38" x14ac:dyDescent="0.3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38" ht="15" thickBot="1" x14ac:dyDescent="0.4">
      <c r="A10" s="1" t="s">
        <v>17</v>
      </c>
      <c r="B10" s="1" t="s">
        <v>20</v>
      </c>
      <c r="C10" s="1" t="s">
        <v>15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AK10" s="14"/>
      <c r="AL10" s="14"/>
    </row>
    <row r="11" spans="1:38" ht="16.5" thickBot="1" x14ac:dyDescent="0.4">
      <c r="A11" s="5" t="s">
        <v>12</v>
      </c>
      <c r="B11" s="3" t="s">
        <v>0</v>
      </c>
      <c r="C11" s="6">
        <v>0</v>
      </c>
      <c r="E11" s="1"/>
      <c r="F11" s="1"/>
      <c r="G11" s="1"/>
      <c r="H11" s="1"/>
      <c r="I11" s="1"/>
      <c r="J11" s="1"/>
      <c r="K11" s="1"/>
      <c r="L11" s="7"/>
      <c r="M11" s="1"/>
      <c r="N11" s="1"/>
      <c r="O11" s="1"/>
      <c r="P11" s="1"/>
      <c r="Q11" s="1"/>
      <c r="R11" s="1"/>
      <c r="S11" s="1"/>
      <c r="AK11" s="14"/>
      <c r="AL11" s="14"/>
    </row>
    <row r="12" spans="1:38" ht="16.5" thickBot="1" x14ac:dyDescent="0.4">
      <c r="A12" s="5" t="s">
        <v>13</v>
      </c>
      <c r="B12" s="3" t="s">
        <v>0</v>
      </c>
      <c r="C12" s="6">
        <v>0</v>
      </c>
      <c r="D12" s="1"/>
      <c r="E12" s="1"/>
      <c r="F12" s="1"/>
      <c r="G12" s="1"/>
      <c r="H12" s="1"/>
      <c r="I12" s="1"/>
      <c r="J12" s="1"/>
      <c r="K12" s="1"/>
      <c r="L12" s="7"/>
      <c r="M12" s="1"/>
      <c r="N12" s="1"/>
      <c r="O12" s="1"/>
      <c r="P12" s="1"/>
      <c r="Q12" s="1"/>
      <c r="R12" s="1"/>
      <c r="S12" s="1"/>
      <c r="AK12" s="14"/>
      <c r="AL12" s="14"/>
    </row>
    <row r="13" spans="1:38" ht="16.5" thickBot="1" x14ac:dyDescent="0.4">
      <c r="A13" s="5" t="s">
        <v>1</v>
      </c>
      <c r="B13" s="3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AK13" s="14"/>
      <c r="AL13" s="14"/>
    </row>
    <row r="14" spans="1:38" ht="16.5" thickBot="1" x14ac:dyDescent="0.4">
      <c r="A14" s="2" t="s">
        <v>2</v>
      </c>
      <c r="B14" s="3" t="s">
        <v>0</v>
      </c>
      <c r="C14" s="6">
        <v>0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AK14" s="14"/>
      <c r="AL14" s="14"/>
    </row>
    <row r="15" spans="1:38" ht="16.5" thickBot="1" x14ac:dyDescent="0.4">
      <c r="A15" s="2" t="s">
        <v>3</v>
      </c>
      <c r="B15" s="3" t="s">
        <v>4</v>
      </c>
      <c r="C15" s="8">
        <v>0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AK15" s="14"/>
      <c r="AL15" s="14"/>
    </row>
    <row r="16" spans="1:38" ht="16.5" thickBot="1" x14ac:dyDescent="0.4">
      <c r="A16" s="2" t="s">
        <v>5</v>
      </c>
      <c r="B16" s="3" t="s">
        <v>4</v>
      </c>
      <c r="C16" s="8">
        <v>0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38" ht="16" x14ac:dyDescent="0.35">
      <c r="A17" s="2"/>
      <c r="B17" s="3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38" x14ac:dyDescent="0.35">
      <c r="A18" s="2" t="s">
        <v>19</v>
      </c>
      <c r="B18" s="1" t="s">
        <v>20</v>
      </c>
      <c r="C18" s="9" t="s">
        <v>6</v>
      </c>
      <c r="D18" s="9">
        <v>2020</v>
      </c>
      <c r="E18" s="9">
        <v>2021</v>
      </c>
      <c r="F18" s="9">
        <v>2022</v>
      </c>
      <c r="G18" s="9">
        <v>2023</v>
      </c>
      <c r="H18" s="9">
        <v>2024</v>
      </c>
      <c r="I18" s="9">
        <v>2025</v>
      </c>
      <c r="J18" s="9">
        <v>2026</v>
      </c>
      <c r="K18" s="9">
        <v>2027</v>
      </c>
      <c r="L18" s="9">
        <v>2028</v>
      </c>
      <c r="M18" s="9">
        <v>2029</v>
      </c>
      <c r="N18" s="9">
        <v>2030</v>
      </c>
      <c r="O18" s="9">
        <v>2031</v>
      </c>
      <c r="P18" s="9">
        <v>2032</v>
      </c>
      <c r="Q18" s="9">
        <v>2033</v>
      </c>
      <c r="R18" s="9">
        <v>2034</v>
      </c>
      <c r="S18" s="9">
        <v>2035</v>
      </c>
      <c r="T18" s="9">
        <v>2036</v>
      </c>
      <c r="U18" s="9">
        <v>2037</v>
      </c>
      <c r="V18" s="9">
        <v>2038</v>
      </c>
      <c r="W18" s="9">
        <v>2039</v>
      </c>
      <c r="X18" s="9">
        <v>2040</v>
      </c>
      <c r="Y18" s="9">
        <v>2041</v>
      </c>
      <c r="Z18" s="9">
        <v>2042</v>
      </c>
      <c r="AA18" s="9">
        <v>2043</v>
      </c>
      <c r="AB18" s="9">
        <v>2044</v>
      </c>
      <c r="AC18" s="9">
        <v>2045</v>
      </c>
      <c r="AD18" s="9">
        <v>2046</v>
      </c>
      <c r="AE18" s="9">
        <v>2047</v>
      </c>
      <c r="AF18" s="9">
        <v>2048</v>
      </c>
      <c r="AG18" s="9">
        <v>2049</v>
      </c>
      <c r="AH18" s="9">
        <v>2050</v>
      </c>
    </row>
    <row r="19" spans="1:38" ht="16.5" thickBot="1" x14ac:dyDescent="0.4">
      <c r="A19" s="10" t="s">
        <v>7</v>
      </c>
      <c r="B19" s="1"/>
      <c r="C19" s="11" t="str">
        <f>IF('[1]CleanStep - JUSTACCESS - FFSS'!C27&gt;0,"ok","increase debt")</f>
        <v>ok</v>
      </c>
      <c r="D19" s="11" t="str">
        <f>IF('[1]CleanStep - JUSTACCESS - FFSS'!B27&gt;0,"ok","increase debt")</f>
        <v>ok</v>
      </c>
      <c r="E19" s="11" t="str">
        <f>IF('[1]CleanStep - JUSTACCESS - FFSS'!B27&gt;0,"ok","increase debt")</f>
        <v>ok</v>
      </c>
      <c r="F19" s="11" t="str">
        <f>IF('[1]CleanStep - JUSTACCESS - FFSS'!B27&gt;0,"ok","increase debt")</f>
        <v>ok</v>
      </c>
      <c r="G19" s="11" t="str">
        <f>IF('[1]CleanStep - JUSTACCESS - FFSS'!C27&gt;0,"ok","increase debt")</f>
        <v>ok</v>
      </c>
      <c r="H19" s="11" t="str">
        <f>IF('[1]CleanStep - JUSTACCESS - FFSS'!D27&gt;0,"ok","increase debt")</f>
        <v>increase debt</v>
      </c>
      <c r="I19" s="11" t="str">
        <f>IF('[1]CleanStep - JUSTACCESS - FFSS'!E27&gt;0,"ok","increase debt")</f>
        <v>increase debt</v>
      </c>
      <c r="J19" s="11" t="str">
        <f>IF('[1]CleanStep - JUSTACCESS - FFSS'!F27&gt;0,"ok","increase debt")</f>
        <v>increase debt</v>
      </c>
      <c r="K19" s="11" t="str">
        <f>IF('[1]CleanStep - JUSTACCESS - FFSS'!G27&gt;0,"ok","increase debt")</f>
        <v>increase debt</v>
      </c>
      <c r="L19" s="11" t="str">
        <f>IF('[1]CleanStep - JUSTACCESS - FFSS'!H27&gt;0,"ok","increase debt")</f>
        <v>increase debt</v>
      </c>
      <c r="M19" s="11" t="str">
        <f>IF('[1]CleanStep - JUSTACCESS - FFSS'!I27&gt;0,"ok","increase debt")</f>
        <v>increase debt</v>
      </c>
      <c r="N19" s="11" t="str">
        <f>IF('[1]CleanStep - JUSTACCESS - FFSS'!J27&gt;0,"ok","increase debt")</f>
        <v>increase debt</v>
      </c>
      <c r="O19" s="11" t="str">
        <f>IF('[1]CleanStep - JUSTACCESS - FFSS'!K27&gt;0,"ok","increase debt")</f>
        <v>increase debt</v>
      </c>
      <c r="P19" s="11" t="str">
        <f>IF('[1]CleanStep - JUSTACCESS - FFSS'!L27&gt;0,"ok","increase debt")</f>
        <v>increase debt</v>
      </c>
      <c r="Q19" s="11" t="str">
        <f>IF('[1]CleanStep - JUSTACCESS - FFSS'!M27&gt;0,"ok","increase debt")</f>
        <v>increase debt</v>
      </c>
      <c r="R19" s="11" t="str">
        <f>IF('[1]CleanStep - JUSTACCESS - FFSS'!N27&gt;0,"ok","increase debt")</f>
        <v>increase debt</v>
      </c>
      <c r="S19" s="11" t="str">
        <f>IF('[1]CleanStep - JUSTACCESS - FFSS'!O27&gt;0,"ok","increase debt")</f>
        <v>increase debt</v>
      </c>
      <c r="T19" s="11" t="str">
        <f>IF('[1]CleanStep - JUSTACCESS - FFSS'!P27&gt;0,"ok","increase debt")</f>
        <v>increase debt</v>
      </c>
      <c r="U19" s="11" t="str">
        <f>IF('[1]CleanStep - JUSTACCESS - FFSS'!Q27&gt;0,"ok","increase debt")</f>
        <v>increase debt</v>
      </c>
      <c r="V19" s="11" t="str">
        <f>IF('[1]CleanStep - JUSTACCESS - FFSS'!R27&gt;0,"ok","increase debt")</f>
        <v>increase debt</v>
      </c>
      <c r="W19" s="11" t="str">
        <f>IF('[1]CleanStep - JUSTACCESS - FFSS'!S27&gt;0,"ok","increase debt")</f>
        <v>increase debt</v>
      </c>
      <c r="X19" s="11" t="str">
        <f>IF('[1]CleanStep - JUSTACCESS - FFSS'!T27&gt;0,"ok","increase debt")</f>
        <v>increase debt</v>
      </c>
      <c r="Y19" s="11" t="str">
        <f>IF('[1]CleanStep - JUSTACCESS - FFSS'!U27&gt;0,"ok","increase debt")</f>
        <v>increase debt</v>
      </c>
      <c r="Z19" s="11" t="str">
        <f>IF('[1]CleanStep - JUSTACCESS - FFSS'!V27&gt;0,"ok","increase debt")</f>
        <v>increase debt</v>
      </c>
      <c r="AA19" s="11" t="str">
        <f>IF('[1]CleanStep - JUSTACCESS - FFSS'!W27&gt;0,"ok","increase debt")</f>
        <v>increase debt</v>
      </c>
      <c r="AB19" s="11" t="str">
        <f>IF('[1]CleanStep - JUSTACCESS - FFSS'!X27&gt;0,"ok","increase debt")</f>
        <v>increase debt</v>
      </c>
      <c r="AC19" s="11" t="str">
        <f>IF('[1]CleanStep - JUSTACCESS - FFSS'!Y27&gt;0,"ok","increase debt")</f>
        <v>increase debt</v>
      </c>
      <c r="AD19" s="11" t="str">
        <f>IF('[1]CleanStep - JUSTACCESS - FFSS'!Z27&gt;0,"ok","increase debt")</f>
        <v>increase debt</v>
      </c>
      <c r="AE19" s="11" t="str">
        <f>IF('[1]CleanStep - JUSTACCESS - FFSS'!AA27&gt;0,"ok","increase debt")</f>
        <v>increase debt</v>
      </c>
      <c r="AF19" s="11" t="str">
        <f>IF('[1]CleanStep - JUSTACCESS - FFSS'!AB27&gt;0,"ok","increase debt")</f>
        <v>increase debt</v>
      </c>
      <c r="AG19" s="11" t="str">
        <f>IF('[1]CleanStep - JUSTACCESS - FFSS'!AC27&gt;0,"ok","increase debt")</f>
        <v>increase debt</v>
      </c>
      <c r="AH19" s="11" t="str">
        <f>IF('[1]CleanStep - JUSTACCESS - FFSS'!AD27&gt;0,"ok","increase debt")</f>
        <v>increase debt</v>
      </c>
    </row>
    <row r="20" spans="1:38" ht="17" thickTop="1" thickBot="1" x14ac:dyDescent="0.4">
      <c r="A20" s="12" t="s">
        <v>18</v>
      </c>
      <c r="B20" s="3" t="s">
        <v>9</v>
      </c>
      <c r="C20" s="16">
        <v>0</v>
      </c>
      <c r="D20" s="16">
        <v>0</v>
      </c>
      <c r="E20" s="16">
        <v>0</v>
      </c>
      <c r="F20" s="16">
        <v>0</v>
      </c>
      <c r="G20" s="16">
        <v>0</v>
      </c>
      <c r="H20" s="16">
        <v>0</v>
      </c>
      <c r="I20" s="16">
        <v>0</v>
      </c>
      <c r="J20" s="16">
        <v>0</v>
      </c>
      <c r="K20" s="16">
        <v>0</v>
      </c>
      <c r="L20" s="16">
        <v>0</v>
      </c>
      <c r="M20" s="16">
        <v>0</v>
      </c>
      <c r="N20" s="16">
        <v>0</v>
      </c>
      <c r="O20" s="16">
        <v>0</v>
      </c>
      <c r="P20" s="16">
        <v>0</v>
      </c>
      <c r="Q20" s="16">
        <v>0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6">
        <v>0</v>
      </c>
      <c r="X20" s="16">
        <v>0</v>
      </c>
      <c r="Y20" s="16">
        <v>0</v>
      </c>
      <c r="Z20" s="16">
        <v>0</v>
      </c>
      <c r="AA20" s="16">
        <v>0</v>
      </c>
      <c r="AB20" s="16">
        <v>0</v>
      </c>
      <c r="AC20" s="16">
        <v>0</v>
      </c>
      <c r="AD20" s="16">
        <v>0</v>
      </c>
      <c r="AE20" s="16">
        <v>0</v>
      </c>
      <c r="AF20" s="16">
        <v>0</v>
      </c>
      <c r="AG20" s="16">
        <v>0</v>
      </c>
      <c r="AH20" s="16">
        <v>0</v>
      </c>
      <c r="AK20" s="14"/>
      <c r="AL20" s="14"/>
    </row>
    <row r="21" spans="1:38" ht="16.5" thickBot="1" x14ac:dyDescent="0.4">
      <c r="A21" s="10" t="s">
        <v>8</v>
      </c>
      <c r="B21" s="3" t="s">
        <v>9</v>
      </c>
      <c r="C21" s="13">
        <v>0</v>
      </c>
      <c r="D21" s="13">
        <v>0</v>
      </c>
      <c r="E21" s="13">
        <v>0</v>
      </c>
      <c r="F21" s="13">
        <v>0</v>
      </c>
      <c r="G21" s="13">
        <v>0</v>
      </c>
      <c r="H21" s="13">
        <v>0</v>
      </c>
      <c r="I21" s="13">
        <v>0</v>
      </c>
      <c r="J21" s="13">
        <v>0</v>
      </c>
      <c r="K21" s="13">
        <v>0</v>
      </c>
      <c r="L21" s="13">
        <v>0</v>
      </c>
      <c r="M21" s="13">
        <v>0</v>
      </c>
      <c r="N21" s="13">
        <v>0</v>
      </c>
      <c r="O21" s="13">
        <v>0</v>
      </c>
      <c r="P21" s="13">
        <v>0</v>
      </c>
      <c r="Q21" s="13">
        <v>0</v>
      </c>
      <c r="R21" s="13">
        <v>0</v>
      </c>
      <c r="S21" s="13">
        <v>0</v>
      </c>
      <c r="T21" s="13">
        <v>0</v>
      </c>
      <c r="U21" s="13">
        <v>0</v>
      </c>
      <c r="V21" s="13">
        <v>0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  <c r="AD21" s="13">
        <v>0</v>
      </c>
      <c r="AE21" s="13">
        <v>0</v>
      </c>
      <c r="AF21" s="13">
        <v>0</v>
      </c>
      <c r="AG21" s="13">
        <v>0</v>
      </c>
      <c r="AH21" s="13">
        <v>0</v>
      </c>
      <c r="AK21" s="14"/>
      <c r="AL21" s="14"/>
    </row>
    <row r="22" spans="1:38" x14ac:dyDescent="0.35">
      <c r="AK22" s="14"/>
      <c r="AL22" s="14"/>
    </row>
    <row r="23" spans="1:38" x14ac:dyDescent="0.35">
      <c r="AK23" s="14"/>
      <c r="AL23" s="14"/>
    </row>
    <row r="24" spans="1:38" x14ac:dyDescent="0.35">
      <c r="AK24" s="14"/>
      <c r="AL24" s="14"/>
    </row>
    <row r="25" spans="1:38" x14ac:dyDescent="0.35">
      <c r="AK25" s="14"/>
      <c r="AL25" s="14"/>
    </row>
    <row r="26" spans="1:38" x14ac:dyDescent="0.35">
      <c r="AK26" s="14"/>
      <c r="AL26" s="14"/>
    </row>
    <row r="27" spans="1:38" x14ac:dyDescent="0.35">
      <c r="AK27" s="14"/>
      <c r="AL27" s="14"/>
    </row>
  </sheetData>
  <conditionalFormatting sqref="A19:AH19">
    <cfRule type="cellIs" dxfId="3" priority="1" operator="equal">
      <formula>"increase debt"</formula>
    </cfRule>
    <cfRule type="cellIs" dxfId="2" priority="2" operator="equal">
      <formula>"ok"</formula>
    </cfRule>
  </conditionalFormatting>
  <conditionalFormatting sqref="D14:AK14">
    <cfRule type="cellIs" dxfId="1" priority="3" operator="equal">
      <formula>"increase debt"</formula>
    </cfRule>
    <cfRule type="cellIs" dxfId="0" priority="4" operator="equal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Electricity &amp; E-Cooking</vt:lpstr>
      <vt:lpstr>Electricity (Low access)</vt:lpstr>
      <vt:lpstr>LPG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Almudena Garrido</dc:creator>
  <cp:lastModifiedBy>Almudena Garrido</cp:lastModifiedBy>
  <dcterms:created xsi:type="dcterms:W3CDTF">2025-06-19T09:25:21Z</dcterms:created>
  <dcterms:modified xsi:type="dcterms:W3CDTF">2025-06-30T16:39:15Z</dcterms:modified>
</cp:coreProperties>
</file>