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NICCP-AI/backend/design-capital-structure/"/>
    </mc:Choice>
  </mc:AlternateContent>
  <xr:revisionPtr revIDLastSave="54" documentId="8_{E5295D48-A9F0-4D2F-8DCF-7C23BD8E24E9}" xr6:coauthVersionLast="47" xr6:coauthVersionMax="47" xr10:uidLastSave="{5142EF6C-ABF8-4196-83ED-F7C80E493E18}"/>
  <bookViews>
    <workbookView xWindow="-110" yWindow="-110" windowWidth="19420" windowHeight="11500" xr2:uid="{BBCF56CD-8AD5-4002-91F7-ED7A4CE8CFDA}"/>
  </bookViews>
  <sheets>
    <sheet name="JUST ACCESS" sheetId="2" r:id="rId1"/>
    <sheet name="Electricity" sheetId="1" r:id="rId2"/>
    <sheet name="LPG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" l="1"/>
  <c r="O15" i="3"/>
  <c r="N15" i="3"/>
  <c r="M15" i="3"/>
  <c r="L15" i="3"/>
  <c r="K15" i="3"/>
  <c r="J15" i="3"/>
  <c r="I15" i="3"/>
  <c r="H15" i="3"/>
  <c r="G15" i="3"/>
  <c r="F15" i="3"/>
  <c r="E15" i="3"/>
  <c r="P14" i="3"/>
  <c r="O14" i="3"/>
  <c r="N14" i="3"/>
  <c r="M14" i="3"/>
  <c r="L14" i="3"/>
  <c r="K14" i="3"/>
  <c r="J14" i="3"/>
  <c r="I14" i="3"/>
  <c r="H14" i="3"/>
  <c r="G14" i="3"/>
  <c r="F14" i="3"/>
  <c r="E14" i="3"/>
  <c r="B8" i="3"/>
  <c r="B6" i="3"/>
  <c r="B4" i="3"/>
  <c r="E2" i="3"/>
  <c r="E1" i="3"/>
  <c r="O12" i="2"/>
  <c r="N12" i="2"/>
  <c r="M12" i="2"/>
  <c r="L12" i="2"/>
  <c r="K12" i="2"/>
  <c r="J12" i="2"/>
  <c r="I12" i="2"/>
  <c r="H12" i="2"/>
  <c r="G12" i="2"/>
  <c r="F12" i="2"/>
  <c r="E12" i="2"/>
  <c r="O11" i="2"/>
  <c r="N11" i="2"/>
  <c r="M11" i="2"/>
  <c r="L11" i="2"/>
  <c r="K11" i="2"/>
  <c r="J11" i="2"/>
  <c r="I11" i="2"/>
  <c r="H11" i="2"/>
  <c r="G11" i="2"/>
  <c r="F11" i="2"/>
  <c r="E11" i="2"/>
  <c r="B5" i="2"/>
  <c r="B4" i="2"/>
  <c r="E2" i="2"/>
  <c r="E1" i="2"/>
  <c r="D15" i="1"/>
  <c r="B8" i="1"/>
  <c r="B6" i="1"/>
  <c r="B4" i="1"/>
  <c r="D2" i="1"/>
  <c r="D1" i="1"/>
  <c r="N15" i="1" l="1"/>
  <c r="N14" i="1"/>
  <c r="M14" i="1"/>
  <c r="M15" i="1"/>
  <c r="O14" i="1" l="1"/>
  <c r="O15" i="1"/>
  <c r="P15" i="1"/>
  <c r="P14" i="1"/>
  <c r="E1" i="1" l="1"/>
  <c r="E2" i="1"/>
  <c r="E14" i="1"/>
  <c r="F14" i="1"/>
  <c r="G14" i="1"/>
  <c r="H14" i="1"/>
  <c r="I14" i="1"/>
  <c r="J14" i="1"/>
  <c r="K14" i="1"/>
  <c r="L14" i="1"/>
  <c r="E15" i="1"/>
  <c r="F15" i="1"/>
  <c r="G15" i="1"/>
  <c r="H15" i="1"/>
  <c r="I15" i="1"/>
  <c r="J15" i="1"/>
  <c r="K15" i="1"/>
  <c r="L15" i="1"/>
  <c r="B3" i="2"/>
</calcChain>
</file>

<file path=xl/sharedStrings.xml><?xml version="1.0" encoding="utf-8"?>
<sst xmlns="http://schemas.openxmlformats.org/spreadsheetml/2006/main" count="75" uniqueCount="23">
  <si>
    <t>How much to be finance</t>
  </si>
  <si>
    <t>till 2034</t>
  </si>
  <si>
    <t>till 2030 - SDG 7 targets</t>
  </si>
  <si>
    <t>Total:</t>
  </si>
  <si>
    <t>1.- Equity</t>
  </si>
  <si>
    <t>%</t>
  </si>
  <si>
    <t>to be injected in year 0</t>
  </si>
  <si>
    <t>2.- Grants</t>
  </si>
  <si>
    <t>inyected in the first two years but linked to CAPEX deployment</t>
  </si>
  <si>
    <t>3.- Debt</t>
  </si>
  <si>
    <t>Interests</t>
  </si>
  <si>
    <t>Grace period</t>
  </si>
  <si>
    <t>years</t>
  </si>
  <si>
    <t>Amortization period</t>
  </si>
  <si>
    <t>Baseline</t>
  </si>
  <si>
    <t>Annual debt needs</t>
  </si>
  <si>
    <t>how much to increase</t>
  </si>
  <si>
    <t>Debt increase</t>
  </si>
  <si>
    <t>M$</t>
  </si>
  <si>
    <t>How much to be finance (till 2034)</t>
  </si>
  <si>
    <t>How much to be finance (till 2030 - SDG 7 targets)</t>
  </si>
  <si>
    <t>1.- Equity (to be injected in year 0)</t>
  </si>
  <si>
    <t>2.- Grants (inyected in the first two years but linked to CAPEX deployment)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</si>
</sst>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M$&quot;;\ \(#,##0\)\ &quot;M$&quot;;&quot;-&quot;"/>
    <numFmt numFmtId="165" formatCode="#,##0;\(#,##0\);&quot;-&quot;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2"/>
      <color rgb="FF002060"/>
      <name val="Aptos Narrow"/>
      <family val="2"/>
      <scheme val="minor"/>
    </font>
    <font>
      <b/>
      <sz val="12"/>
      <color theme="1" tint="0.499984740745262"/>
      <name val="Aptos Narrow"/>
      <family val="2"/>
      <scheme val="minor"/>
    </font>
    <font>
      <b/>
      <sz val="12"/>
      <color rgb="FF00206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3"/>
    </xf>
    <xf numFmtId="0" fontId="4" fillId="0" borderId="0" xfId="0" applyFont="1" applyAlignment="1">
      <alignment horizontal="center" vertical="center"/>
    </xf>
    <xf numFmtId="3" fontId="3" fillId="0" borderId="1" xfId="0" quotePrefix="1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2" borderId="0" xfId="0" applyFont="1" applyFill="1" applyAlignment="1">
      <alignment horizontal="right" vertical="center"/>
    </xf>
    <xf numFmtId="164" fontId="6" fillId="2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left" vertical="center" indent="3"/>
    </xf>
    <xf numFmtId="9" fontId="8" fillId="4" borderId="1" xfId="1" applyFont="1" applyFill="1" applyBorder="1" applyAlignment="1" applyProtection="1">
      <alignment horizontal="center" vertical="center"/>
      <protection locked="0"/>
    </xf>
    <xf numFmtId="9" fontId="5" fillId="0" borderId="0" xfId="1" applyFont="1" applyAlignment="1">
      <alignment vertical="center"/>
    </xf>
    <xf numFmtId="0" fontId="0" fillId="0" borderId="0" xfId="0" applyAlignment="1">
      <alignment horizontal="center" vertical="center"/>
    </xf>
    <xf numFmtId="9" fontId="5" fillId="0" borderId="0" xfId="1" applyFont="1" applyAlignment="1">
      <alignment horizontal="center" vertical="center"/>
    </xf>
    <xf numFmtId="3" fontId="8" fillId="4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1" fontId="2" fillId="5" borderId="0" xfId="0" applyNumberFormat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horizontal="left" vertical="center" indent="3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indent="3"/>
    </xf>
    <xf numFmtId="165" fontId="5" fillId="0" borderId="0" xfId="0" applyNumberFormat="1" applyFont="1" applyAlignment="1">
      <alignment horizontal="center" vertical="center"/>
    </xf>
    <xf numFmtId="164" fontId="8" fillId="4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9" fontId="10" fillId="4" borderId="1" xfId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orcentaje" xfId="1" builtinId="5"/>
  </cellStyles>
  <dxfs count="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954da175e61d5af/Escritorio/IIT/NICCP_Santos/Solved_NICCP.xlsm" TargetMode="External"/><Relationship Id="rId1" Type="http://schemas.openxmlformats.org/officeDocument/2006/relationships/externalLinkPath" Target="/8954da175e61d5af/Escritorio/IIT/NICCP_Santos/Solved_NICC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0">
          <cell r="C20" t="str">
            <v>%</v>
          </cell>
        </row>
        <row r="22">
          <cell r="C22" t="str">
            <v>%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9">
          <cell r="C29" t="str">
            <v>%</v>
          </cell>
        </row>
        <row r="40">
          <cell r="D40">
            <v>0.58310789860648693</v>
          </cell>
          <cell r="E40">
            <v>0.55696036745884592</v>
          </cell>
          <cell r="F40">
            <v>0.53050601273191256</v>
          </cell>
          <cell r="G40">
            <v>0.51071853334197015</v>
          </cell>
          <cell r="H40">
            <v>0.49567484357367547</v>
          </cell>
          <cell r="I40">
            <v>0.4841223616414746</v>
          </cell>
          <cell r="J40">
            <v>0.47735759295031621</v>
          </cell>
          <cell r="K40">
            <v>0.49094920741569592</v>
          </cell>
          <cell r="L40">
            <v>0.47536332914592194</v>
          </cell>
          <cell r="M40">
            <v>0.4917573119528737</v>
          </cell>
          <cell r="N40">
            <v>0.50598489218013021</v>
          </cell>
          <cell r="O40">
            <v>0.52261098851724685</v>
          </cell>
        </row>
        <row r="76">
          <cell r="D76">
            <v>8.5754845994985409</v>
          </cell>
          <cell r="E76">
            <v>9.8070255961999777</v>
          </cell>
          <cell r="F76">
            <v>11.265913424205767</v>
          </cell>
          <cell r="G76">
            <v>12.694642793091818</v>
          </cell>
          <cell r="H76">
            <v>14.093670983257734</v>
          </cell>
          <cell r="I76">
            <v>15.463449145341015</v>
          </cell>
          <cell r="J76">
            <v>16.804422377084308</v>
          </cell>
          <cell r="K76">
            <v>17.567374849630912</v>
          </cell>
          <cell r="L76">
            <v>17.903362362116638</v>
          </cell>
          <cell r="M76">
            <v>18.230873386867685</v>
          </cell>
          <cell r="N76">
            <v>18.550043854887495</v>
          </cell>
          <cell r="O76">
            <v>18.86100782620823</v>
          </cell>
        </row>
      </sheetData>
      <sheetData sheetId="9">
        <row r="14">
          <cell r="D14">
            <v>333.44321904181294</v>
          </cell>
          <cell r="E14">
            <v>367.9097949345396</v>
          </cell>
          <cell r="F14">
            <v>398.88709514899381</v>
          </cell>
          <cell r="G14">
            <v>429.87164447394287</v>
          </cell>
          <cell r="H14">
            <v>460.86337041828176</v>
          </cell>
          <cell r="I14">
            <v>491.86220121581653</v>
          </cell>
          <cell r="J14">
            <v>524.75015351014645</v>
          </cell>
          <cell r="K14">
            <v>559.5409649765586</v>
          </cell>
          <cell r="L14">
            <v>521.68176942105356</v>
          </cell>
          <cell r="M14">
            <v>555.80743060640248</v>
          </cell>
          <cell r="N14">
            <v>589.93309179175151</v>
          </cell>
          <cell r="O14">
            <v>624.05875297710054</v>
          </cell>
        </row>
        <row r="22">
          <cell r="D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</sheetData>
      <sheetData sheetId="10"/>
      <sheetData sheetId="11">
        <row r="21">
          <cell r="D21">
            <v>4.595692907358365</v>
          </cell>
          <cell r="E21">
            <v>13.049523064522218</v>
          </cell>
          <cell r="F21">
            <v>18.402170725411189</v>
          </cell>
          <cell r="G21">
            <v>23.754818386300158</v>
          </cell>
          <cell r="H21">
            <v>29.107466047189128</v>
          </cell>
          <cell r="I21">
            <v>34.460113708078097</v>
          </cell>
          <cell r="J21">
            <v>39.812761368967074</v>
          </cell>
          <cell r="K21">
            <v>20.784535080576052</v>
          </cell>
          <cell r="L21">
            <v>21.350726772217701</v>
          </cell>
          <cell r="M21">
            <v>21.91691846385935</v>
          </cell>
          <cell r="N21">
            <v>22.483110155500999</v>
          </cell>
          <cell r="O21">
            <v>23.049301847142647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dimension ref="A1:P13"/>
  <sheetViews>
    <sheetView tabSelected="1" topLeftCell="C2" zoomScale="82" workbookViewId="0">
      <selection activeCell="O10" sqref="O10"/>
    </sheetView>
  </sheetViews>
  <sheetFormatPr baseColWidth="10" defaultRowHeight="14.5" x14ac:dyDescent="0.35"/>
  <cols>
    <col min="3" max="3" width="71.6328125" customWidth="1"/>
  </cols>
  <sheetData>
    <row r="1" spans="1:16" ht="16.5" thickBot="1" x14ac:dyDescent="0.4">
      <c r="A1" s="1"/>
      <c r="B1" s="1"/>
      <c r="C1" s="2" t="s">
        <v>19</v>
      </c>
      <c r="D1" s="3" t="s">
        <v>18</v>
      </c>
      <c r="E1" s="4">
        <f>-SUMIF('[1]CleanStep - JUSTACCESS - FFSS'!D8:O8,"&lt;0",'[1]CleanStep - JUSTACCESS - FFSS'!D8:O8)</f>
        <v>0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6.5" thickBot="1" x14ac:dyDescent="0.4">
      <c r="A2" s="1"/>
      <c r="B2" s="1"/>
      <c r="C2" s="2" t="s">
        <v>20</v>
      </c>
      <c r="D2" s="3" t="s">
        <v>18</v>
      </c>
      <c r="E2" s="4">
        <f>-SUMIF('[1]CleanStep - JUSTACCESS - FFSS'!D8:K8,"&lt;0",'[1]CleanStep - JUSTACCESS - FFSS'!D8:K8)</f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16.5" thickBot="1" x14ac:dyDescent="0.4">
      <c r="A3" s="6" t="s">
        <v>3</v>
      </c>
      <c r="B3" s="7">
        <f ca="1">SUM('[1]CleanStep - JUSTACCESS - FFSS'!D14:O14)</f>
        <v>5858.6094885164002</v>
      </c>
      <c r="C3" s="8" t="s">
        <v>21</v>
      </c>
      <c r="D3" s="3" t="s">
        <v>5</v>
      </c>
      <c r="E3" s="9">
        <v>0.25</v>
      </c>
      <c r="F3" s="1"/>
      <c r="G3" s="1"/>
      <c r="H3" s="1"/>
      <c r="I3" s="10"/>
      <c r="J3" s="1"/>
      <c r="K3" s="1"/>
      <c r="L3" s="1"/>
      <c r="M3" s="1"/>
      <c r="N3" s="1"/>
      <c r="O3" s="1"/>
      <c r="P3" s="1"/>
    </row>
    <row r="4" spans="1:16" ht="16.5" thickBot="1" x14ac:dyDescent="0.4">
      <c r="A4" s="6" t="s">
        <v>3</v>
      </c>
      <c r="B4" s="7">
        <f>'[1]CleanStep - JUSTACCESS - FFSS'!A69</f>
        <v>0</v>
      </c>
      <c r="C4" s="8" t="s">
        <v>22</v>
      </c>
      <c r="D4" s="3" t="s">
        <v>5</v>
      </c>
      <c r="E4" s="9">
        <v>0.55000000000000004</v>
      </c>
      <c r="F4" s="1"/>
      <c r="G4" s="1"/>
      <c r="H4" s="1"/>
      <c r="I4" s="10"/>
      <c r="J4" s="1"/>
      <c r="K4" s="1"/>
      <c r="L4" s="1"/>
      <c r="M4" s="1"/>
      <c r="N4" s="1"/>
      <c r="O4" s="1"/>
      <c r="P4" s="1"/>
    </row>
    <row r="5" spans="1:16" ht="16.5" thickBot="1" x14ac:dyDescent="0.4">
      <c r="A5" s="6" t="s">
        <v>3</v>
      </c>
      <c r="B5" s="7">
        <f>'[1]CleanStep - JUSTACCESS - FFSS'!A77</f>
        <v>0</v>
      </c>
      <c r="C5" s="8" t="s">
        <v>9</v>
      </c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16.5" thickBot="1" x14ac:dyDescent="0.4">
      <c r="A6" s="1"/>
      <c r="B6" s="1"/>
      <c r="C6" s="2" t="s">
        <v>10</v>
      </c>
      <c r="D6" s="3" t="s">
        <v>5</v>
      </c>
      <c r="E6" s="9">
        <v>0.08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ht="16.5" thickBot="1" x14ac:dyDescent="0.4">
      <c r="A7" s="1"/>
      <c r="B7" s="1"/>
      <c r="C7" s="2" t="s">
        <v>11</v>
      </c>
      <c r="D7" s="3" t="s">
        <v>12</v>
      </c>
      <c r="E7" s="13">
        <v>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ht="16.5" thickBot="1" x14ac:dyDescent="0.4">
      <c r="A8" s="1"/>
      <c r="B8" s="1"/>
      <c r="C8" s="2" t="s">
        <v>13</v>
      </c>
      <c r="D8" s="3" t="s">
        <v>12</v>
      </c>
      <c r="E8" s="13">
        <v>25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ht="16" x14ac:dyDescent="0.35">
      <c r="A9" s="1"/>
      <c r="B9" s="1"/>
      <c r="C9" s="2"/>
      <c r="D9" s="3"/>
      <c r="E9" s="15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5">
      <c r="A10" s="1"/>
      <c r="B10" s="1"/>
      <c r="C10" s="2"/>
      <c r="D10" s="1"/>
      <c r="E10" s="16" t="s">
        <v>14</v>
      </c>
      <c r="F10" s="16">
        <v>2025</v>
      </c>
      <c r="G10" s="16">
        <v>2026</v>
      </c>
      <c r="H10" s="16">
        <v>2027</v>
      </c>
      <c r="I10" s="16">
        <v>2028</v>
      </c>
      <c r="J10" s="16">
        <v>2029</v>
      </c>
      <c r="K10" s="16">
        <v>2030</v>
      </c>
      <c r="L10" s="16">
        <v>2031</v>
      </c>
      <c r="M10" s="16">
        <v>2032</v>
      </c>
      <c r="N10" s="16">
        <v>2033</v>
      </c>
      <c r="O10" s="16">
        <v>2034</v>
      </c>
      <c r="P10" s="1"/>
    </row>
    <row r="11" spans="1:16" ht="16.5" thickBot="1" x14ac:dyDescent="0.4">
      <c r="A11" s="1"/>
      <c r="B11" s="1"/>
      <c r="C11" s="18" t="s">
        <v>15</v>
      </c>
      <c r="D11" s="1"/>
      <c r="E11" s="19" t="str">
        <f>IF('[1]CleanStep - JUSTACCESS - FFSS'!D22&gt;0,"ok","increase debt")</f>
        <v>increase debt</v>
      </c>
      <c r="F11" s="19" t="str">
        <f>IF('[1]CleanStep - JUSTACCESS - FFSS'!F22&gt;0,"ok","increase debt")</f>
        <v>increase debt</v>
      </c>
      <c r="G11" s="19" t="str">
        <f>IF('[1]CleanStep - JUSTACCESS - FFSS'!G22&gt;0,"ok","increase debt")</f>
        <v>increase debt</v>
      </c>
      <c r="H11" s="19" t="str">
        <f>IF('[1]CleanStep - JUSTACCESS - FFSS'!H22&gt;0,"ok","increase debt")</f>
        <v>increase debt</v>
      </c>
      <c r="I11" s="19" t="str">
        <f>IF('[1]CleanStep - JUSTACCESS - FFSS'!I22&gt;0,"ok","increase debt")</f>
        <v>increase debt</v>
      </c>
      <c r="J11" s="19" t="str">
        <f>IF('[1]CleanStep - JUSTACCESS - FFSS'!J22&gt;0,"ok","increase debt")</f>
        <v>increase debt</v>
      </c>
      <c r="K11" s="19" t="str">
        <f>IF('[1]CleanStep - JUSTACCESS - FFSS'!K22&gt;0,"ok","increase debt")</f>
        <v>increase debt</v>
      </c>
      <c r="L11" s="19" t="str">
        <f>IF('[1]CleanStep - JUSTACCESS - FFSS'!L22&gt;0,"ok","increase debt")</f>
        <v>increase debt</v>
      </c>
      <c r="M11" s="19" t="str">
        <f>IF('[1]CleanStep - JUSTACCESS - FFSS'!M22&gt;0,"ok","increase debt")</f>
        <v>increase debt</v>
      </c>
      <c r="N11" s="19" t="str">
        <f>IF('[1]CleanStep - JUSTACCESS - FFSS'!N22&gt;0,"ok","increase debt")</f>
        <v>increase debt</v>
      </c>
      <c r="O11" s="19" t="str">
        <f>IF('[1]CleanStep - JUSTACCESS - FFSS'!O22&gt;0,"ok","increase debt")</f>
        <v>increase debt</v>
      </c>
      <c r="P11" s="1"/>
    </row>
    <row r="12" spans="1:16" ht="17" thickTop="1" thickBot="1" x14ac:dyDescent="0.4">
      <c r="A12" s="1"/>
      <c r="B12" s="1"/>
      <c r="C12" s="20" t="s">
        <v>16</v>
      </c>
      <c r="D12" s="3" t="s">
        <v>18</v>
      </c>
      <c r="E12" s="21">
        <f>IF('[1]CleanStep - JUSTACCESS - FFSS'!D22&lt;0,-'[1]CleanStep - JUSTACCESS - FFSS'!D22,0)</f>
        <v>0</v>
      </c>
      <c r="F12" s="21">
        <f>IF('[1]CleanStep - JUSTACCESS - FFSS'!F22&lt;0,-'[1]CleanStep - JUSTACCESS - FFSS'!F22,0)</f>
        <v>0</v>
      </c>
      <c r="G12" s="21">
        <f>IF('[1]CleanStep - JUSTACCESS - FFSS'!G22&lt;0,-'[1]CleanStep - JUSTACCESS - FFSS'!G22,0)</f>
        <v>0</v>
      </c>
      <c r="H12" s="21">
        <f>IF('[1]CleanStep - JUSTACCESS - FFSS'!H22&lt;0,-'[1]CleanStep - JUSTACCESS - FFSS'!H22,0)</f>
        <v>0</v>
      </c>
      <c r="I12" s="21">
        <f>IF('[1]CleanStep - JUSTACCESS - FFSS'!I22&lt;0,-'[1]CleanStep - JUSTACCESS - FFSS'!I22,0)</f>
        <v>0</v>
      </c>
      <c r="J12" s="21">
        <f>IF('[1]CleanStep - JUSTACCESS - FFSS'!J22&lt;0,-'[1]CleanStep - JUSTACCESS - FFSS'!J22,0)</f>
        <v>0</v>
      </c>
      <c r="K12" s="21">
        <f>IF('[1]CleanStep - JUSTACCESS - FFSS'!K22&lt;0,-'[1]CleanStep - JUSTACCESS - FFSS'!K22,0)</f>
        <v>0</v>
      </c>
      <c r="L12" s="21">
        <f>IF('[1]CleanStep - JUSTACCESS - FFSS'!L22&lt;0,-'[1]CleanStep - JUSTACCESS - FFSS'!L22,0)</f>
        <v>0</v>
      </c>
      <c r="M12" s="21">
        <f>IF('[1]CleanStep - JUSTACCESS - FFSS'!M22&lt;0,-'[1]CleanStep - JUSTACCESS - FFSS'!M22,0)</f>
        <v>0</v>
      </c>
      <c r="N12" s="21">
        <f>IF('[1]CleanStep - JUSTACCESS - FFSS'!N22&lt;0,-'[1]CleanStep - JUSTACCESS - FFSS'!N22,0)</f>
        <v>0</v>
      </c>
      <c r="O12" s="21">
        <f>IF('[1]CleanStep - JUSTACCESS - FFSS'!O22&lt;0,-'[1]CleanStep - JUSTACCESS - FFSS'!O22,0)</f>
        <v>0</v>
      </c>
      <c r="P12" s="1"/>
    </row>
    <row r="13" spans="1:16" ht="16.5" thickBot="1" x14ac:dyDescent="0.4">
      <c r="A13" s="1"/>
      <c r="B13" s="1"/>
      <c r="C13" s="18" t="s">
        <v>17</v>
      </c>
      <c r="D13" s="3" t="s">
        <v>18</v>
      </c>
      <c r="E13" s="22">
        <v>0</v>
      </c>
      <c r="F13" s="22">
        <v>0</v>
      </c>
      <c r="G13" s="22">
        <v>0</v>
      </c>
      <c r="H13" s="22">
        <v>0</v>
      </c>
      <c r="I13" s="22">
        <v>20</v>
      </c>
      <c r="J13" s="22">
        <v>100</v>
      </c>
      <c r="K13" s="22">
        <v>90</v>
      </c>
      <c r="L13" s="22">
        <v>65</v>
      </c>
      <c r="M13" s="22">
        <v>45</v>
      </c>
      <c r="N13" s="22">
        <v>25</v>
      </c>
      <c r="O13" s="22">
        <v>0</v>
      </c>
      <c r="P13" s="1"/>
    </row>
  </sheetData>
  <conditionalFormatting sqref="E1:E2">
    <cfRule type="cellIs" dxfId="8" priority="3" operator="equal">
      <formula>0</formula>
    </cfRule>
  </conditionalFormatting>
  <conditionalFormatting sqref="E11:O11">
    <cfRule type="cellIs" dxfId="7" priority="1" operator="equal">
      <formula>"increase debt"</formula>
    </cfRule>
    <cfRule type="cellIs" dxfId="6" priority="2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dimension ref="A1:Q17"/>
  <sheetViews>
    <sheetView zoomScale="78" zoomScaleNormal="100" workbookViewId="0">
      <selection activeCell="H23" sqref="H23"/>
    </sheetView>
  </sheetViews>
  <sheetFormatPr baseColWidth="10" defaultRowHeight="14.5" x14ac:dyDescent="0.35"/>
  <cols>
    <col min="3" max="3" width="41.08984375" customWidth="1"/>
  </cols>
  <sheetData>
    <row r="1" spans="1:17" ht="16.5" thickBot="1" x14ac:dyDescent="0.4">
      <c r="A1" s="1"/>
      <c r="B1" s="1"/>
      <c r="C1" s="2" t="s">
        <v>0</v>
      </c>
      <c r="D1" s="3" t="str">
        <f>'[1]CleanStep - Electricity - FFSS'!C20</f>
        <v>%</v>
      </c>
      <c r="E1" s="4">
        <f ca="1">-SUMIF('[1]CleanStep - Electricity - FFSS'!D26:O26,"&lt;0",'[1]CleanStep - Electricity - FFSS'!D26:O26)</f>
        <v>0</v>
      </c>
      <c r="F1" s="5" t="s">
        <v>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6.5" thickBot="1" x14ac:dyDescent="0.4">
      <c r="A2" s="1"/>
      <c r="B2" s="1"/>
      <c r="C2" s="2"/>
      <c r="D2" s="3" t="str">
        <f>'[1]CleanStep - Electricity - FFSS'!C22</f>
        <v>%</v>
      </c>
      <c r="E2" s="4">
        <f ca="1">-SUMIF('[1]CleanStep - Electricity - FFSS'!D26:K26,"&lt;0",'[1]CleanStep - Electricity - FFSS'!D26:K26)</f>
        <v>0</v>
      </c>
      <c r="F2" s="5" t="s">
        <v>2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thickBot="1" x14ac:dyDescent="0.4">
      <c r="A3" s="1"/>
      <c r="B3" s="1"/>
      <c r="C3" s="2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6.5" thickBot="1" x14ac:dyDescent="0.4">
      <c r="A4" s="6" t="s">
        <v>3</v>
      </c>
      <c r="B4" s="7">
        <f>SUM('[1]CleanStep - Electricity - FFSS'!D76:O76)</f>
        <v>179.81727119839013</v>
      </c>
      <c r="C4" s="8" t="s">
        <v>4</v>
      </c>
      <c r="D4" s="3" t="s">
        <v>5</v>
      </c>
      <c r="E4" s="9">
        <v>0</v>
      </c>
      <c r="F4" s="5" t="s">
        <v>6</v>
      </c>
      <c r="G4" s="1"/>
      <c r="H4" s="1"/>
      <c r="I4" s="1"/>
      <c r="J4" s="10"/>
      <c r="K4" s="1"/>
      <c r="L4" s="1"/>
      <c r="M4" s="1"/>
      <c r="N4" s="1"/>
      <c r="O4" s="1"/>
      <c r="P4" s="1"/>
      <c r="Q4" s="1"/>
    </row>
    <row r="5" spans="1:17" ht="16.5" thickBot="1" x14ac:dyDescent="0.4">
      <c r="A5" s="1"/>
      <c r="B5" s="11"/>
      <c r="C5" s="2"/>
      <c r="D5" s="1"/>
      <c r="E5" s="1"/>
      <c r="F5" s="1"/>
      <c r="G5" s="1"/>
      <c r="H5" s="1"/>
      <c r="I5" s="1"/>
      <c r="J5" s="5"/>
      <c r="K5" s="1"/>
      <c r="L5" s="1"/>
      <c r="M5" s="1"/>
      <c r="N5" s="1"/>
      <c r="O5" s="1"/>
      <c r="P5" s="1"/>
      <c r="Q5" s="1"/>
    </row>
    <row r="6" spans="1:17" ht="16.5" thickBot="1" x14ac:dyDescent="0.4">
      <c r="A6" s="6" t="s">
        <v>3</v>
      </c>
      <c r="B6" s="7">
        <f>'[1]CleanStep - Electricity - FFSS'!A87</f>
        <v>0</v>
      </c>
      <c r="C6" s="8" t="s">
        <v>7</v>
      </c>
      <c r="D6" s="3" t="s">
        <v>5</v>
      </c>
      <c r="E6" s="9">
        <v>0</v>
      </c>
      <c r="F6" s="5" t="s">
        <v>8</v>
      </c>
      <c r="G6" s="1"/>
      <c r="H6" s="1"/>
      <c r="I6" s="1"/>
      <c r="J6" s="10"/>
      <c r="K6" s="1"/>
      <c r="L6" s="1"/>
      <c r="M6" s="1"/>
      <c r="N6" s="1"/>
      <c r="O6" s="1"/>
      <c r="P6" s="1"/>
      <c r="Q6" s="1"/>
    </row>
    <row r="7" spans="1:17" x14ac:dyDescent="0.35">
      <c r="A7" s="1"/>
      <c r="B7" s="11"/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6.5" thickBot="1" x14ac:dyDescent="0.4">
      <c r="A8" s="6" t="s">
        <v>3</v>
      </c>
      <c r="B8" s="7">
        <f>'[1]CleanStep - Electricity - FFSS'!A95</f>
        <v>0</v>
      </c>
      <c r="C8" s="8" t="s">
        <v>9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6.5" thickBot="1" x14ac:dyDescent="0.4">
      <c r="A9" s="1"/>
      <c r="B9" s="1"/>
      <c r="C9" s="2" t="s">
        <v>10</v>
      </c>
      <c r="D9" s="3" t="s">
        <v>5</v>
      </c>
      <c r="E9" s="9">
        <v>0.08</v>
      </c>
      <c r="F9" s="12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6.5" thickBot="1" x14ac:dyDescent="0.4">
      <c r="A10" s="1"/>
      <c r="B10" s="1"/>
      <c r="C10" s="2" t="s">
        <v>11</v>
      </c>
      <c r="D10" s="3" t="s">
        <v>12</v>
      </c>
      <c r="E10" s="13">
        <v>6</v>
      </c>
      <c r="F10" s="1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6.5" thickBot="1" x14ac:dyDescent="0.4">
      <c r="A11" s="1"/>
      <c r="B11" s="1"/>
      <c r="C11" s="2" t="s">
        <v>13</v>
      </c>
      <c r="D11" s="3" t="s">
        <v>12</v>
      </c>
      <c r="E11" s="13">
        <v>25</v>
      </c>
      <c r="F11" s="1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6" x14ac:dyDescent="0.35">
      <c r="A12" s="1"/>
      <c r="B12" s="1"/>
      <c r="C12" s="2"/>
      <c r="D12" s="3"/>
      <c r="E12" s="1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6" x14ac:dyDescent="0.35">
      <c r="A13" s="1"/>
      <c r="B13" s="1"/>
      <c r="C13" s="2"/>
      <c r="D13" s="1"/>
      <c r="E13" s="16" t="s">
        <v>14</v>
      </c>
      <c r="F13" s="16">
        <v>2024</v>
      </c>
      <c r="G13" s="16">
        <v>2025</v>
      </c>
      <c r="H13" s="16">
        <v>2026</v>
      </c>
      <c r="I13" s="16">
        <v>2027</v>
      </c>
      <c r="J13" s="16">
        <v>2028</v>
      </c>
      <c r="K13" s="16">
        <v>2029</v>
      </c>
      <c r="L13" s="16">
        <v>2030</v>
      </c>
      <c r="M13" s="16">
        <v>2031</v>
      </c>
      <c r="N13" s="16">
        <v>2032</v>
      </c>
      <c r="O13" s="16">
        <v>2033</v>
      </c>
      <c r="P13" s="16">
        <v>2034</v>
      </c>
      <c r="Q13" s="17"/>
    </row>
    <row r="14" spans="1:17" ht="16.5" thickBot="1" x14ac:dyDescent="0.4">
      <c r="A14" s="1"/>
      <c r="B14" s="1"/>
      <c r="C14" s="18" t="s">
        <v>15</v>
      </c>
      <c r="D14" s="1"/>
      <c r="E14" s="19" t="str">
        <f ca="1">IF('[1]CleanStep - Electricity - FFSS'!D40&gt;0,"ok","increase debt")</f>
        <v>ok</v>
      </c>
      <c r="F14" s="19" t="str">
        <f ca="1">IF('[1]CleanStep - Electricity - FFSS'!E40&gt;0,"ok","increase debt")</f>
        <v>ok</v>
      </c>
      <c r="G14" s="19" t="str">
        <f ca="1">IF('[1]CleanStep - Electricity - FFSS'!F40&gt;0,"ok","increase debt")</f>
        <v>ok</v>
      </c>
      <c r="H14" s="19" t="str">
        <f ca="1">IF('[1]CleanStep - Electricity - FFSS'!G40&gt;0,"ok","increase debt")</f>
        <v>ok</v>
      </c>
      <c r="I14" s="19" t="str">
        <f ca="1">IF('[1]CleanStep - Electricity - FFSS'!H40&gt;0,"ok","increase debt")</f>
        <v>ok</v>
      </c>
      <c r="J14" s="19" t="str">
        <f ca="1">IF('[1]CleanStep - Electricity - FFSS'!I40&gt;0,"ok","increase debt")</f>
        <v>ok</v>
      </c>
      <c r="K14" s="19" t="str">
        <f ca="1">IF('[1]CleanStep - Electricity - FFSS'!J40&gt;0,"ok","increase debt")</f>
        <v>ok</v>
      </c>
      <c r="L14" s="19" t="str">
        <f ca="1">IF('[1]CleanStep - Electricity - FFSS'!K40&gt;0,"ok","increase debt")</f>
        <v>ok</v>
      </c>
      <c r="M14" s="19" t="str">
        <f ca="1">IF('[1]CleanStep - Electricity - FFSS'!L40&gt;0,"ok","increase debt")</f>
        <v>ok</v>
      </c>
      <c r="N14" s="19" t="str">
        <f ca="1">IF('[1]CleanStep - Electricity - FFSS'!M40&gt;0,"ok","increase debt")</f>
        <v>ok</v>
      </c>
      <c r="O14" s="19" t="str">
        <f ca="1">IF('[1]CleanStep - Electricity - FFSS'!N40&gt;0,"ok","increase debt")</f>
        <v>ok</v>
      </c>
      <c r="P14" s="19" t="str">
        <f ca="1">IF('[1]CleanStep - Electricity - FFSS'!O40&gt;0,"ok","increase debt")</f>
        <v>ok</v>
      </c>
      <c r="Q14" s="1"/>
    </row>
    <row r="15" spans="1:17" ht="17" thickTop="1" thickBot="1" x14ac:dyDescent="0.4">
      <c r="A15" s="1"/>
      <c r="B15" s="1"/>
      <c r="C15" s="20" t="s">
        <v>16</v>
      </c>
      <c r="D15" s="3" t="str">
        <f>'[1]CleanStep - Electricity - FFSS'!C29</f>
        <v>%</v>
      </c>
      <c r="E15" s="21">
        <f ca="1">IF('[1]CleanStep - Electricity - FFSS'!D40&lt;0,-'[1]CleanStep - Electricity - FFSS'!D40,0)</f>
        <v>0</v>
      </c>
      <c r="F15" s="21">
        <f ca="1">IF('[1]CleanStep - Electricity - FFSS'!E40&lt;0,-'[1]CleanStep - Electricity - FFSS'!E40,0)</f>
        <v>0</v>
      </c>
      <c r="G15" s="21">
        <f ca="1">IF('[1]CleanStep - Electricity - FFSS'!F40&lt;0,-'[1]CleanStep - Electricity - FFSS'!F40,0)</f>
        <v>0</v>
      </c>
      <c r="H15" s="21">
        <f ca="1">IF('[1]CleanStep - Electricity - FFSS'!G40&lt;0,-'[1]CleanStep - Electricity - FFSS'!G40,0)</f>
        <v>0</v>
      </c>
      <c r="I15" s="21">
        <f ca="1">IF('[1]CleanStep - Electricity - FFSS'!H40&lt;0,-'[1]CleanStep - Electricity - FFSS'!H40,0)</f>
        <v>0</v>
      </c>
      <c r="J15" s="21">
        <f ca="1">IF('[1]CleanStep - Electricity - FFSS'!I40&lt;0,-'[1]CleanStep - Electricity - FFSS'!I40,0)</f>
        <v>0</v>
      </c>
      <c r="K15" s="21">
        <f ca="1">IF('[1]CleanStep - Electricity - FFSS'!J40&lt;0,-'[1]CleanStep - Electricity - FFSS'!J40,0)</f>
        <v>0</v>
      </c>
      <c r="L15" s="21">
        <f ca="1">IF('[1]CleanStep - Electricity - FFSS'!K40&lt;0,-'[1]CleanStep - Electricity - FFSS'!K40,0)</f>
        <v>0</v>
      </c>
      <c r="M15" s="21">
        <f ca="1">IF('[1]CleanStep - Electricity - FFSS'!L40&lt;0,-'[1]CleanStep - Electricity - FFSS'!L40,0)</f>
        <v>0</v>
      </c>
      <c r="N15" s="21">
        <f ca="1">IF('[1]CleanStep - Electricity - FFSS'!M40&lt;0,-'[1]CleanStep - Electricity - FFSS'!M40,0)</f>
        <v>0</v>
      </c>
      <c r="O15" s="21">
        <f ca="1">IF('[1]CleanStep - Electricity - FFSS'!N40&lt;0,-'[1]CleanStep - Electricity - FFSS'!N40,0)</f>
        <v>0</v>
      </c>
      <c r="P15" s="21">
        <f ca="1">IF('[1]CleanStep - Electricity - FFSS'!O40&lt;0,-'[1]CleanStep - Electricity - FFSS'!O40,0)</f>
        <v>0</v>
      </c>
      <c r="Q15" s="1"/>
    </row>
    <row r="16" spans="1:17" ht="16.5" thickBot="1" x14ac:dyDescent="0.4">
      <c r="A16" s="1"/>
      <c r="B16" s="1"/>
      <c r="C16" s="18" t="s">
        <v>17</v>
      </c>
      <c r="D16" s="3" t="s">
        <v>18</v>
      </c>
      <c r="E16" s="22">
        <v>0</v>
      </c>
      <c r="F16" s="22">
        <v>0</v>
      </c>
      <c r="G16" s="22">
        <v>0</v>
      </c>
      <c r="H16" s="22">
        <v>0</v>
      </c>
      <c r="I16" s="22">
        <v>0</v>
      </c>
      <c r="J16" s="22">
        <v>120</v>
      </c>
      <c r="K16" s="22">
        <v>160</v>
      </c>
      <c r="L16" s="22">
        <v>170</v>
      </c>
      <c r="M16" s="22">
        <v>140</v>
      </c>
      <c r="N16" s="22">
        <v>95</v>
      </c>
      <c r="O16" s="22">
        <v>60</v>
      </c>
      <c r="P16" s="22">
        <v>0</v>
      </c>
      <c r="Q16" s="1"/>
    </row>
    <row r="17" spans="1:17" ht="16" x14ac:dyDescent="0.35">
      <c r="A17" s="1"/>
      <c r="B17" s="1"/>
      <c r="C17" s="18"/>
      <c r="D17" s="23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1"/>
    </row>
  </sheetData>
  <conditionalFormatting sqref="E1:E2">
    <cfRule type="cellIs" dxfId="5" priority="11" operator="equal">
      <formula>0</formula>
    </cfRule>
  </conditionalFormatting>
  <conditionalFormatting sqref="E14:P14">
    <cfRule type="cellIs" dxfId="4" priority="9" operator="equal">
      <formula>"increase debt"</formula>
    </cfRule>
    <cfRule type="cellIs" dxfId="3" priority="10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dimension ref="A1:P16"/>
  <sheetViews>
    <sheetView zoomScale="83" workbookViewId="0">
      <selection activeCell="B4" sqref="B4"/>
    </sheetView>
  </sheetViews>
  <sheetFormatPr baseColWidth="10" defaultRowHeight="14.5" x14ac:dyDescent="0.35"/>
  <cols>
    <col min="3" max="3" width="24.6328125" customWidth="1"/>
  </cols>
  <sheetData>
    <row r="1" spans="1:16" ht="16.5" thickBot="1" x14ac:dyDescent="0.4">
      <c r="A1" s="1"/>
      <c r="B1" s="1"/>
      <c r="C1" s="2" t="s">
        <v>0</v>
      </c>
      <c r="D1" s="3" t="s">
        <v>18</v>
      </c>
      <c r="E1" s="4">
        <f>-SUMIF('[1]CleanStep - LPG - FFSS'!D7:O7,"&lt;0",'[1]CleanStep - LPG - FFSS'!D7:O7)</f>
        <v>0</v>
      </c>
      <c r="F1" s="5" t="s">
        <v>1</v>
      </c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6.5" thickBot="1" x14ac:dyDescent="0.4">
      <c r="A2" s="1"/>
      <c r="B2" s="1"/>
      <c r="C2" s="2"/>
      <c r="D2" s="3" t="s">
        <v>18</v>
      </c>
      <c r="E2" s="4">
        <f>-SUMIF('[1]CleanStep - LPG - FFSS'!D7:K7,"&lt;0",'[1]CleanStep - LPG - FFSS'!D7:K7)</f>
        <v>0</v>
      </c>
      <c r="F2" s="5" t="s">
        <v>2</v>
      </c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15" thickBot="1" x14ac:dyDescent="0.4">
      <c r="A3" s="1"/>
      <c r="B3" s="1"/>
      <c r="C3" s="2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16.5" thickBot="1" x14ac:dyDescent="0.4">
      <c r="A4" s="6" t="s">
        <v>3</v>
      </c>
      <c r="B4" s="7">
        <f>SUM('[1]CleanStep - LPG - FFSS'!D13:O13)</f>
        <v>0</v>
      </c>
      <c r="C4" s="8" t="s">
        <v>4</v>
      </c>
      <c r="D4" s="3" t="s">
        <v>5</v>
      </c>
      <c r="E4" s="9">
        <v>0.5</v>
      </c>
      <c r="F4" s="5" t="s">
        <v>6</v>
      </c>
      <c r="G4" s="1"/>
      <c r="H4" s="1"/>
      <c r="I4" s="1"/>
      <c r="J4" s="10"/>
      <c r="K4" s="1"/>
      <c r="L4" s="1"/>
      <c r="M4" s="1"/>
      <c r="N4" s="1"/>
      <c r="O4" s="1"/>
      <c r="P4" s="1"/>
    </row>
    <row r="5" spans="1:16" ht="16.5" thickBot="1" x14ac:dyDescent="0.4">
      <c r="A5" s="1"/>
      <c r="B5" s="11"/>
      <c r="C5" s="2"/>
      <c r="D5" s="1"/>
      <c r="E5" s="1"/>
      <c r="F5" s="1"/>
      <c r="G5" s="1"/>
      <c r="H5" s="1"/>
      <c r="I5" s="1"/>
      <c r="J5" s="5"/>
      <c r="K5" s="1"/>
      <c r="L5" s="1"/>
      <c r="M5" s="1"/>
      <c r="N5" s="1"/>
      <c r="O5" s="1"/>
      <c r="P5" s="1"/>
    </row>
    <row r="6" spans="1:16" ht="16.5" thickBot="1" x14ac:dyDescent="0.4">
      <c r="A6" s="6" t="s">
        <v>3</v>
      </c>
      <c r="B6" s="7">
        <f>'[1]CleanStep - LPG - FFSS'!A68</f>
        <v>0</v>
      </c>
      <c r="C6" s="8" t="s">
        <v>7</v>
      </c>
      <c r="D6" s="3" t="s">
        <v>5</v>
      </c>
      <c r="E6" s="25">
        <v>0</v>
      </c>
      <c r="F6" s="5" t="s">
        <v>8</v>
      </c>
      <c r="G6" s="1"/>
      <c r="H6" s="1"/>
      <c r="I6" s="1"/>
      <c r="J6" s="10"/>
      <c r="K6" s="1"/>
      <c r="L6" s="1"/>
      <c r="M6" s="1"/>
      <c r="N6" s="1"/>
      <c r="O6" s="1"/>
      <c r="P6" s="1"/>
    </row>
    <row r="7" spans="1:16" x14ac:dyDescent="0.35">
      <c r="A7" s="1"/>
      <c r="B7" s="11"/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ht="16.5" thickBot="1" x14ac:dyDescent="0.4">
      <c r="A8" s="6" t="s">
        <v>3</v>
      </c>
      <c r="B8" s="7">
        <f>'[1]CleanStep - LPG - FFSS'!A76</f>
        <v>0</v>
      </c>
      <c r="C8" s="8" t="s">
        <v>9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ht="16.5" thickBot="1" x14ac:dyDescent="0.4">
      <c r="A9" s="1"/>
      <c r="B9" s="1"/>
      <c r="C9" s="2" t="s">
        <v>10</v>
      </c>
      <c r="D9" s="3" t="s">
        <v>5</v>
      </c>
      <c r="E9" s="9">
        <v>0.08</v>
      </c>
      <c r="F9" s="12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ht="16.5" thickBot="1" x14ac:dyDescent="0.4">
      <c r="A10" s="1"/>
      <c r="B10" s="1"/>
      <c r="C10" s="2" t="s">
        <v>11</v>
      </c>
      <c r="D10" s="3" t="s">
        <v>12</v>
      </c>
      <c r="E10" s="13">
        <v>6</v>
      </c>
      <c r="F10" s="14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ht="16.5" thickBot="1" x14ac:dyDescent="0.4">
      <c r="A11" s="1"/>
      <c r="B11" s="1"/>
      <c r="C11" s="2" t="s">
        <v>13</v>
      </c>
      <c r="D11" s="3" t="s">
        <v>12</v>
      </c>
      <c r="E11" s="13">
        <v>25</v>
      </c>
      <c r="F11" s="14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ht="16" x14ac:dyDescent="0.35">
      <c r="A12" s="1"/>
      <c r="B12" s="1"/>
      <c r="C12" s="2"/>
      <c r="D12" s="3"/>
      <c r="E12" s="1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5">
      <c r="A13" s="1"/>
      <c r="B13" s="1"/>
      <c r="C13" s="2"/>
      <c r="D13" s="1"/>
      <c r="E13" s="16" t="s">
        <v>14</v>
      </c>
      <c r="F13" s="16">
        <v>2024</v>
      </c>
      <c r="G13" s="16">
        <v>2025</v>
      </c>
      <c r="H13" s="16">
        <v>2026</v>
      </c>
      <c r="I13" s="16">
        <v>2027</v>
      </c>
      <c r="J13" s="16">
        <v>2028</v>
      </c>
      <c r="K13" s="16">
        <v>2029</v>
      </c>
      <c r="L13" s="16">
        <v>2030</v>
      </c>
      <c r="M13" s="16">
        <v>2031</v>
      </c>
      <c r="N13" s="16">
        <v>2032</v>
      </c>
      <c r="O13" s="16">
        <v>2033</v>
      </c>
      <c r="P13" s="16">
        <v>2034</v>
      </c>
    </row>
    <row r="14" spans="1:16" ht="16.5" thickBot="1" x14ac:dyDescent="0.4">
      <c r="A14" s="1"/>
      <c r="B14" s="1"/>
      <c r="C14" s="18" t="s">
        <v>15</v>
      </c>
      <c r="D14" s="1"/>
      <c r="E14" s="19" t="str">
        <f>IF('[1]CleanStep - LPG - FFSS'!D21&gt;0,"ok","increase debt")</f>
        <v>ok</v>
      </c>
      <c r="F14" s="19" t="str">
        <f>IF('[1]CleanStep - LPG - FFSS'!E21&gt;0,"ok","increase debt")</f>
        <v>ok</v>
      </c>
      <c r="G14" s="19" t="str">
        <f>IF('[1]CleanStep - LPG - FFSS'!F21&gt;0,"ok","increase debt")</f>
        <v>ok</v>
      </c>
      <c r="H14" s="19" t="str">
        <f>IF('[1]CleanStep - LPG - FFSS'!G21&gt;0,"ok","increase debt")</f>
        <v>ok</v>
      </c>
      <c r="I14" s="19" t="str">
        <f>IF('[1]CleanStep - LPG - FFSS'!H21&gt;0,"ok","increase debt")</f>
        <v>ok</v>
      </c>
      <c r="J14" s="19" t="str">
        <f>IF('[1]CleanStep - LPG - FFSS'!I21&gt;0,"ok","increase debt")</f>
        <v>ok</v>
      </c>
      <c r="K14" s="19" t="str">
        <f>IF('[1]CleanStep - LPG - FFSS'!J21&gt;0,"ok","increase debt")</f>
        <v>ok</v>
      </c>
      <c r="L14" s="19" t="str">
        <f>IF('[1]CleanStep - LPG - FFSS'!K21&gt;0,"ok","increase debt")</f>
        <v>ok</v>
      </c>
      <c r="M14" s="19" t="str">
        <f>IF('[1]CleanStep - LPG - FFSS'!L21&gt;0,"ok","increase debt")</f>
        <v>ok</v>
      </c>
      <c r="N14" s="19" t="str">
        <f>IF('[1]CleanStep - LPG - FFSS'!M21&gt;0,"ok","increase debt")</f>
        <v>ok</v>
      </c>
      <c r="O14" s="19" t="str">
        <f>IF('[1]CleanStep - LPG - FFSS'!N21&gt;0,"ok","increase debt")</f>
        <v>ok</v>
      </c>
      <c r="P14" s="19" t="str">
        <f>IF('[1]CleanStep - LPG - FFSS'!O21&gt;0,"ok","increase debt")</f>
        <v>ok</v>
      </c>
    </row>
    <row r="15" spans="1:16" ht="17" thickTop="1" thickBot="1" x14ac:dyDescent="0.4">
      <c r="A15" s="1"/>
      <c r="B15" s="1"/>
      <c r="C15" s="20" t="s">
        <v>16</v>
      </c>
      <c r="D15" s="3" t="s">
        <v>18</v>
      </c>
      <c r="E15" s="21">
        <f>IF('[1]CleanStep - LPG - FFSS'!D21&lt;0,-'[1]CleanStep - LPG - FFSS'!D21,0)</f>
        <v>0</v>
      </c>
      <c r="F15" s="21">
        <f>IF('[1]CleanStep - LPG - FFSS'!E21&lt;0,-'[1]CleanStep - LPG - FFSS'!E21,0)</f>
        <v>0</v>
      </c>
      <c r="G15" s="21">
        <f>IF('[1]CleanStep - LPG - FFSS'!F21&lt;0,-'[1]CleanStep - LPG - FFSS'!F21,0)</f>
        <v>0</v>
      </c>
      <c r="H15" s="21">
        <f>IF('[1]CleanStep - LPG - FFSS'!G21&lt;0,-'[1]CleanStep - LPG - FFSS'!G21,0)</f>
        <v>0</v>
      </c>
      <c r="I15" s="21">
        <f>IF('[1]CleanStep - LPG - FFSS'!H21&lt;0,-'[1]CleanStep - LPG - FFSS'!H21,0)</f>
        <v>0</v>
      </c>
      <c r="J15" s="21">
        <f>IF('[1]CleanStep - LPG - FFSS'!I21&lt;0,-'[1]CleanStep - LPG - FFSS'!I21,0)</f>
        <v>0</v>
      </c>
      <c r="K15" s="21">
        <f>IF('[1]CleanStep - LPG - FFSS'!J21&lt;0,-'[1]CleanStep - LPG - FFSS'!J21,0)</f>
        <v>0</v>
      </c>
      <c r="L15" s="21">
        <f>IF('[1]CleanStep - LPG - FFSS'!K21&lt;0,-'[1]CleanStep - LPG - FFSS'!K21,0)</f>
        <v>0</v>
      </c>
      <c r="M15" s="21">
        <f>IF('[1]CleanStep - LPG - FFSS'!L21&lt;0,-'[1]CleanStep - LPG - FFSS'!L21,0)</f>
        <v>0</v>
      </c>
      <c r="N15" s="21">
        <f>IF('[1]CleanStep - LPG - FFSS'!M21&lt;0,-'[1]CleanStep - LPG - FFSS'!M21,0)</f>
        <v>0</v>
      </c>
      <c r="O15" s="21">
        <f>IF('[1]CleanStep - LPG - FFSS'!N21&lt;0,-'[1]CleanStep - LPG - FFSS'!N21,0)</f>
        <v>0</v>
      </c>
      <c r="P15" s="21">
        <f>IF('[1]CleanStep - LPG - FFSS'!O21&lt;0,-'[1]CleanStep - LPG - FFSS'!O21,0)</f>
        <v>0</v>
      </c>
    </row>
    <row r="16" spans="1:16" ht="16.5" thickBot="1" x14ac:dyDescent="0.4">
      <c r="A16" s="1"/>
      <c r="B16" s="1"/>
      <c r="C16" s="18" t="s">
        <v>17</v>
      </c>
      <c r="D16" s="3" t="s">
        <v>18</v>
      </c>
      <c r="E16" s="22">
        <v>0</v>
      </c>
      <c r="F16" s="22">
        <v>0</v>
      </c>
      <c r="G16" s="22">
        <v>2</v>
      </c>
      <c r="H16" s="22">
        <v>3</v>
      </c>
      <c r="I16" s="22">
        <v>1</v>
      </c>
      <c r="J16" s="22">
        <v>1</v>
      </c>
      <c r="K16" s="22"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</row>
  </sheetData>
  <conditionalFormatting sqref="E1:E2">
    <cfRule type="cellIs" dxfId="2" priority="3" operator="equal">
      <formula>0</formula>
    </cfRule>
  </conditionalFormatting>
  <conditionalFormatting sqref="E14:P14">
    <cfRule type="cellIs" dxfId="1" priority="1" operator="equal">
      <formula>"increase debt"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JUST ACCESS</vt:lpstr>
      <vt:lpstr>Electricity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2025-06-19T16:45:48Z</dcterms:modified>
</cp:coreProperties>
</file>